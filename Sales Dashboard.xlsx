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f928904b2aaed30a/Documents/"/>
    </mc:Choice>
  </mc:AlternateContent>
  <xr:revisionPtr revIDLastSave="1304" documentId="8_{90D9997F-D1A9-45D3-8947-AE65E3303ABD}" xr6:coauthVersionLast="47" xr6:coauthVersionMax="47" xr10:uidLastSave="{91DEC4DC-50ED-4A80-91E2-D57B9925FEBE}"/>
  <bookViews>
    <workbookView xWindow="-108" yWindow="-108" windowWidth="23256" windowHeight="12456" activeTab="2" xr2:uid="{9C6A994D-23B7-4EF5-BD02-38B42812C089}"/>
  </bookViews>
  <sheets>
    <sheet name="Sales Data (2)" sheetId="6" r:id="rId1"/>
    <sheet name="Pivot" sheetId="7" r:id="rId2"/>
    <sheet name="Dashboard" sheetId="4" r:id="rId3"/>
  </sheets>
  <definedNames>
    <definedName name="ExternalData_1" localSheetId="0" hidden="1">'Sales Data (2)'!$A$1:$H$1001</definedName>
    <definedName name="Slicer_Months__Date">#N/A</definedName>
    <definedName name="Slicer_Region">#N/A</definedName>
  </definedNames>
  <calcPr calcId="191028"/>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7" l="1"/>
  <c r="B21" i="7"/>
  <c r="B2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AB5F8A-4D87-4062-813F-A7B4A7C652CE}" keepAlive="1" name="Query - Sales Data (2)" description="Connection to the 'Sales Data (2)' query in the workbook." type="5" refreshedVersion="8" background="1" saveData="1">
    <dbPr connection="Provider=Microsoft.Mashup.OleDb.1;Data Source=$Workbook$;Location=&quot;Sales Data (2)&quot;;Extended Properties=&quot;&quot;" command="SELECT * FROM [Sales Data (2)]"/>
  </connection>
</connections>
</file>

<file path=xl/sharedStrings.xml><?xml version="1.0" encoding="utf-8"?>
<sst xmlns="http://schemas.openxmlformats.org/spreadsheetml/2006/main" count="4079" uniqueCount="342">
  <si>
    <t>Date</t>
  </si>
  <si>
    <t>Customer Name</t>
  </si>
  <si>
    <t>Region</t>
  </si>
  <si>
    <t>Product</t>
  </si>
  <si>
    <t>Category</t>
  </si>
  <si>
    <t>Quantity</t>
  </si>
  <si>
    <t>Total Sales</t>
  </si>
  <si>
    <t>Profit</t>
  </si>
  <si>
    <t>Rohan Yadav</t>
  </si>
  <si>
    <t>North</t>
  </si>
  <si>
    <t>Mobile</t>
  </si>
  <si>
    <t>Electronics</t>
  </si>
  <si>
    <t>Pooja Sharma</t>
  </si>
  <si>
    <t>Backpack</t>
  </si>
  <si>
    <t>Bags</t>
  </si>
  <si>
    <t>Aarav Mehta</t>
  </si>
  <si>
    <t>East</t>
  </si>
  <si>
    <t>Aman Negi</t>
  </si>
  <si>
    <t>South</t>
  </si>
  <si>
    <t>Water Bottle</t>
  </si>
  <si>
    <t>Accessories</t>
  </si>
  <si>
    <t>Priya Gupta</t>
  </si>
  <si>
    <t>Mouse</t>
  </si>
  <si>
    <t>Arjun Joshi</t>
  </si>
  <si>
    <t>Keyboard</t>
  </si>
  <si>
    <t>Sneha Mehta</t>
  </si>
  <si>
    <t>Pen Set</t>
  </si>
  <si>
    <t>Stationery</t>
  </si>
  <si>
    <t>Isha Tiwari</t>
  </si>
  <si>
    <t>Central</t>
  </si>
  <si>
    <t>Jeans</t>
  </si>
  <si>
    <t>Fashion</t>
  </si>
  <si>
    <t>Aman Chauhan</t>
  </si>
  <si>
    <t>Sneha Das</t>
  </si>
  <si>
    <t>Vikash Yadav</t>
  </si>
  <si>
    <t>West</t>
  </si>
  <si>
    <t>Headphones</t>
  </si>
  <si>
    <t>Riya Yadav</t>
  </si>
  <si>
    <t>Riya Kumar</t>
  </si>
  <si>
    <t>Priya Rawat</t>
  </si>
  <si>
    <t>Monitor</t>
  </si>
  <si>
    <t>Priya Kumar</t>
  </si>
  <si>
    <t>Vikash Singh</t>
  </si>
  <si>
    <t>Desk</t>
  </si>
  <si>
    <t>Furniture</t>
  </si>
  <si>
    <t>Meera Rawat</t>
  </si>
  <si>
    <t>Rohan Mehta</t>
  </si>
  <si>
    <t>Office Chair</t>
  </si>
  <si>
    <t>Rahul Chauhan</t>
  </si>
  <si>
    <t>Isha Negi</t>
  </si>
  <si>
    <t>Arjun Das</t>
  </si>
  <si>
    <t>Pooja Singh</t>
  </si>
  <si>
    <t>Shoes</t>
  </si>
  <si>
    <t>Rahul Mehta</t>
  </si>
  <si>
    <t>Laptop</t>
  </si>
  <si>
    <t>Simran Patel</t>
  </si>
  <si>
    <t>T-Shirt</t>
  </si>
  <si>
    <t>Simran Tiwari</t>
  </si>
  <si>
    <t>Ananya Tiwari</t>
  </si>
  <si>
    <t>Aditya Verma</t>
  </si>
  <si>
    <t>Rohan Das</t>
  </si>
  <si>
    <t>Isha Rawat</t>
  </si>
  <si>
    <t>Notebook</t>
  </si>
  <si>
    <t>Neha Das</t>
  </si>
  <si>
    <t>Aman Kumar</t>
  </si>
  <si>
    <t>Aarav Verma</t>
  </si>
  <si>
    <t>Vivaan Mishra</t>
  </si>
  <si>
    <t>Kavya Kumar</t>
  </si>
  <si>
    <t>Kavya Chauhan</t>
  </si>
  <si>
    <t>Ananya Rawat</t>
  </si>
  <si>
    <t>Arjun Sharma</t>
  </si>
  <si>
    <t>Vikash Negi</t>
  </si>
  <si>
    <t>Riya Verma</t>
  </si>
  <si>
    <t>Aman Singh</t>
  </si>
  <si>
    <t>Vivaan Singh</t>
  </si>
  <si>
    <t>Sneha Gupta</t>
  </si>
  <si>
    <t>Kavya Singh</t>
  </si>
  <si>
    <t>Riya Sharma</t>
  </si>
  <si>
    <t>Simran Singh</t>
  </si>
  <si>
    <t>Aditya Das</t>
  </si>
  <si>
    <t>Isha Sharma</t>
  </si>
  <si>
    <t>Simran Joshi</t>
  </si>
  <si>
    <t>Vikash Rawat</t>
  </si>
  <si>
    <t>Aditya Sharma</t>
  </si>
  <si>
    <t>Karan Mehta</t>
  </si>
  <si>
    <t>Ananya Gupta</t>
  </si>
  <si>
    <t>Simran Sharma</t>
  </si>
  <si>
    <t>Arjun Tiwari</t>
  </si>
  <si>
    <t>Rohan Gupta</t>
  </si>
  <si>
    <t>Vikash Mehta</t>
  </si>
  <si>
    <t>Vikash Sharma</t>
  </si>
  <si>
    <t>Karan Das</t>
  </si>
  <si>
    <t>Pooja Patel</t>
  </si>
  <si>
    <t>Rahul Tiwari</t>
  </si>
  <si>
    <t>Pooja Chauhan</t>
  </si>
  <si>
    <t>Arjun Rawat</t>
  </si>
  <si>
    <t>Sneha Joshi</t>
  </si>
  <si>
    <t>Karan Rawat</t>
  </si>
  <si>
    <t>Simran Rawat</t>
  </si>
  <si>
    <t>Simran Verma</t>
  </si>
  <si>
    <t>Ankit Mehta</t>
  </si>
  <si>
    <t>Rahul Patel</t>
  </si>
  <si>
    <t>Ankit Gupta</t>
  </si>
  <si>
    <t>Sneha Negi</t>
  </si>
  <si>
    <t>Rahul Das</t>
  </si>
  <si>
    <t>Priya Verma</t>
  </si>
  <si>
    <t>Rohan Sharma</t>
  </si>
  <si>
    <t>Aditya Negi</t>
  </si>
  <si>
    <t>Neha Negi</t>
  </si>
  <si>
    <t>Arjun Chauhan</t>
  </si>
  <si>
    <t>Simran Negi</t>
  </si>
  <si>
    <t>Sneha Patel</t>
  </si>
  <si>
    <t>Kavya Negi</t>
  </si>
  <si>
    <t>Ankit Kumar</t>
  </si>
  <si>
    <t>Aman Rawat</t>
  </si>
  <si>
    <t>Pooja Joshi</t>
  </si>
  <si>
    <t>Pooja Rawat</t>
  </si>
  <si>
    <t>Pooja Mehta</t>
  </si>
  <si>
    <t>Neha Yadav</t>
  </si>
  <si>
    <t>Karan Negi</t>
  </si>
  <si>
    <t>Pooja Gupta</t>
  </si>
  <si>
    <t>Ananya Kumar</t>
  </si>
  <si>
    <t>Arjun Patel</t>
  </si>
  <si>
    <t>Rahul Gupta</t>
  </si>
  <si>
    <t>Neha Rawat</t>
  </si>
  <si>
    <t>Aman Verma</t>
  </si>
  <si>
    <t>Meera Chauhan</t>
  </si>
  <si>
    <t>Aditya Mehta</t>
  </si>
  <si>
    <t>Simran Das</t>
  </si>
  <si>
    <t>Pooja Mishra</t>
  </si>
  <si>
    <t>Aditya Gupta</t>
  </si>
  <si>
    <t>Neha Joshi</t>
  </si>
  <si>
    <t>Ananya Chauhan</t>
  </si>
  <si>
    <t>Simran Kumar</t>
  </si>
  <si>
    <t>Aman Yadav</t>
  </si>
  <si>
    <t>Meera Joshi</t>
  </si>
  <si>
    <t>Riya Joshi</t>
  </si>
  <si>
    <t>Kavya Gupta</t>
  </si>
  <si>
    <t>Karan Gupta</t>
  </si>
  <si>
    <t>Riya Singh</t>
  </si>
  <si>
    <t>Kavya Verma</t>
  </si>
  <si>
    <t>Aditya Singh</t>
  </si>
  <si>
    <t>Ankit Sharma</t>
  </si>
  <si>
    <t>Sneha Verma</t>
  </si>
  <si>
    <t>Meera Das</t>
  </si>
  <si>
    <t>Rohan Tiwari</t>
  </si>
  <si>
    <t>Ankit Patel</t>
  </si>
  <si>
    <t>Ankit Yadav</t>
  </si>
  <si>
    <t>Aditya Patel</t>
  </si>
  <si>
    <t>Vikash Patel</t>
  </si>
  <si>
    <t>Sneha Tiwari</t>
  </si>
  <si>
    <t>Arjun Mishra</t>
  </si>
  <si>
    <t>Neha Mishra</t>
  </si>
  <si>
    <t>Riya Negi</t>
  </si>
  <si>
    <t>Kavya Das</t>
  </si>
  <si>
    <t>Isha Chauhan</t>
  </si>
  <si>
    <t>Riya Rawat</t>
  </si>
  <si>
    <t>Rohan Negi</t>
  </si>
  <si>
    <t>Isha Mehta</t>
  </si>
  <si>
    <t>Meera Patel</t>
  </si>
  <si>
    <t>Ananya Joshi</t>
  </si>
  <si>
    <t>Priya Mishra</t>
  </si>
  <si>
    <t>Vikash Joshi</t>
  </si>
  <si>
    <t>Kavya Mishra</t>
  </si>
  <si>
    <t>Arjun Negi</t>
  </si>
  <si>
    <t>Vivaan Gupta</t>
  </si>
  <si>
    <t>Isha Mishra</t>
  </si>
  <si>
    <t>Meera Singh</t>
  </si>
  <si>
    <t>Aarav Tiwari</t>
  </si>
  <si>
    <t>Sneha Mishra</t>
  </si>
  <si>
    <t>Vivaan Tiwari</t>
  </si>
  <si>
    <t>Ankit Chauhan</t>
  </si>
  <si>
    <t>Isha Gupta</t>
  </si>
  <si>
    <t>Aditya Tiwari</t>
  </si>
  <si>
    <t>Rohan Chauhan</t>
  </si>
  <si>
    <t>Vikash Mishra</t>
  </si>
  <si>
    <t>Priya Chauhan</t>
  </si>
  <si>
    <t>Aman Mishra</t>
  </si>
  <si>
    <t>Vivaan Sharma</t>
  </si>
  <si>
    <t>Ananya Mehta</t>
  </si>
  <si>
    <t>Meera Kumar</t>
  </si>
  <si>
    <t>Aman Joshi</t>
  </si>
  <si>
    <t>Rohan Singh</t>
  </si>
  <si>
    <t>Aarav Singh</t>
  </si>
  <si>
    <t>Simran Gupta</t>
  </si>
  <si>
    <t>Aditya Joshi</t>
  </si>
  <si>
    <t>Meera Mehta</t>
  </si>
  <si>
    <t>Sneha Rawat</t>
  </si>
  <si>
    <t>Isha Patel</t>
  </si>
  <si>
    <t>Ananya Sharma</t>
  </si>
  <si>
    <t>Pooja Negi</t>
  </si>
  <si>
    <t>Kavya Patel</t>
  </si>
  <si>
    <t>Kavya Mehta</t>
  </si>
  <si>
    <t>Riya Mishra</t>
  </si>
  <si>
    <t>Vivaan Rawat</t>
  </si>
  <si>
    <t>Aarav Joshi</t>
  </si>
  <si>
    <t>Ananya Verma</t>
  </si>
  <si>
    <t>Neha Mehta</t>
  </si>
  <si>
    <t>Priya Singh</t>
  </si>
  <si>
    <t>Sneha Sharma</t>
  </si>
  <si>
    <t>Vivaan Negi</t>
  </si>
  <si>
    <t>Ankit Rawat</t>
  </si>
  <si>
    <t>Neha Singh</t>
  </si>
  <si>
    <t>Karan Joshi</t>
  </si>
  <si>
    <t>Ankit Mishra</t>
  </si>
  <si>
    <t>Vivaan Das</t>
  </si>
  <si>
    <t>Rahul Yadav</t>
  </si>
  <si>
    <t>Aman Gupta</t>
  </si>
  <si>
    <t>Meera Negi</t>
  </si>
  <si>
    <t>Simran Mishra</t>
  </si>
  <si>
    <t>Aarav Rawat</t>
  </si>
  <si>
    <t>Kavya Yadav</t>
  </si>
  <si>
    <t>Isha Joshi</t>
  </si>
  <si>
    <t>Simran Mehta</t>
  </si>
  <si>
    <t>Vivaan Joshi</t>
  </si>
  <si>
    <t>Vivaan Chauhan</t>
  </si>
  <si>
    <t>Pooja Tiwari</t>
  </si>
  <si>
    <t>Rahul Negi</t>
  </si>
  <si>
    <t>Aditya Yadav</t>
  </si>
  <si>
    <t>Rohan Mishra</t>
  </si>
  <si>
    <t>Vivaan Patel</t>
  </si>
  <si>
    <t>Vikash Kumar</t>
  </si>
  <si>
    <t>Neha Tiwari</t>
  </si>
  <si>
    <t>Karan Patel</t>
  </si>
  <si>
    <t>Priya Das</t>
  </si>
  <si>
    <t>Kavya Sharma</t>
  </si>
  <si>
    <t>Riya Das</t>
  </si>
  <si>
    <t>Priya Tiwari</t>
  </si>
  <si>
    <t>Meera Sharma</t>
  </si>
  <si>
    <t>Vikash Das</t>
  </si>
  <si>
    <t>Aarav Negi</t>
  </si>
  <si>
    <t>Isha Singh</t>
  </si>
  <si>
    <t>Rahul Mishra</t>
  </si>
  <si>
    <t>Aditya Rawat</t>
  </si>
  <si>
    <t>Isha Das</t>
  </si>
  <si>
    <t>Priya Mehta</t>
  </si>
  <si>
    <t>Meera Gupta</t>
  </si>
  <si>
    <t>Aman Sharma</t>
  </si>
  <si>
    <t>Priya Negi</t>
  </si>
  <si>
    <t>Riya Gupta</t>
  </si>
  <si>
    <t>Neha Chauhan</t>
  </si>
  <si>
    <t>Aarav Gupta</t>
  </si>
  <si>
    <t>Riya Mehta</t>
  </si>
  <si>
    <t>Karan Chauhan</t>
  </si>
  <si>
    <t>Rahul Sharma</t>
  </si>
  <si>
    <t>Karan Singh</t>
  </si>
  <si>
    <t>Ananya Yadav</t>
  </si>
  <si>
    <t>Rahul Rawat</t>
  </si>
  <si>
    <t>Riya Tiwari</t>
  </si>
  <si>
    <t>Neha Gupta</t>
  </si>
  <si>
    <t>Karan Tiwari</t>
  </si>
  <si>
    <t>Aarav Kumar</t>
  </si>
  <si>
    <t>Riya Patel</t>
  </si>
  <si>
    <t>Vivaan Mehta</t>
  </si>
  <si>
    <t>Meera Yadav</t>
  </si>
  <si>
    <t>Kavya Tiwari</t>
  </si>
  <si>
    <t>Aman Mehta</t>
  </si>
  <si>
    <t>Neha Patel</t>
  </si>
  <si>
    <t>Rahul Verma</t>
  </si>
  <si>
    <t>Priya Joshi</t>
  </si>
  <si>
    <t>Vikash Verma</t>
  </si>
  <si>
    <t>Priya Patel</t>
  </si>
  <si>
    <t>Sneha Yadav</t>
  </si>
  <si>
    <t>Pooja Das</t>
  </si>
  <si>
    <t>Simran Yadav</t>
  </si>
  <si>
    <t>Rohan Joshi</t>
  </si>
  <si>
    <t>Karan Kumar</t>
  </si>
  <si>
    <t>Meera Verma</t>
  </si>
  <si>
    <t>Ankit Tiwari</t>
  </si>
  <si>
    <t>Arjun Kumar</t>
  </si>
  <si>
    <t>Karan Mishra</t>
  </si>
  <si>
    <t>Kavya Rawat</t>
  </si>
  <si>
    <t>Ankit Singh</t>
  </si>
  <si>
    <t>Pooja Verma</t>
  </si>
  <si>
    <t>Rohan Kumar</t>
  </si>
  <si>
    <t>Ankit Joshi</t>
  </si>
  <si>
    <t>Pooja Kumar</t>
  </si>
  <si>
    <t>Aarav Mishra</t>
  </si>
  <si>
    <t>Ankit Das</t>
  </si>
  <si>
    <t>Vikash Chauhan</t>
  </si>
  <si>
    <t>Ankit Verma</t>
  </si>
  <si>
    <t>Arjun Singh</t>
  </si>
  <si>
    <t>Arjun Mehta</t>
  </si>
  <si>
    <t>Rahul Joshi</t>
  </si>
  <si>
    <t>Rohan Rawat</t>
  </si>
  <si>
    <t>Riya Chauhan</t>
  </si>
  <si>
    <t>Kavya Joshi</t>
  </si>
  <si>
    <t>Rahul Singh</t>
  </si>
  <si>
    <t>Priya Yadav</t>
  </si>
  <si>
    <t>Meera Mishra</t>
  </si>
  <si>
    <t>Aman Das</t>
  </si>
  <si>
    <t>Aditya Kumar</t>
  </si>
  <si>
    <t>Aditya Chauhan</t>
  </si>
  <si>
    <t>Arjun Verma</t>
  </si>
  <si>
    <t>Karan Verma</t>
  </si>
  <si>
    <t>Rahul Kumar</t>
  </si>
  <si>
    <t>Neha Sharma</t>
  </si>
  <si>
    <t>Ananya Mishra</t>
  </si>
  <si>
    <t>Ananya Negi</t>
  </si>
  <si>
    <t>Simran Chauhan</t>
  </si>
  <si>
    <t>Ankit Negi</t>
  </si>
  <si>
    <t>Isha Verma</t>
  </si>
  <si>
    <t>Karan Yadav</t>
  </si>
  <si>
    <t>Aarav Das</t>
  </si>
  <si>
    <t>Rohan Verma</t>
  </si>
  <si>
    <t>Aarav Sharma</t>
  </si>
  <si>
    <t>Sneha Singh</t>
  </si>
  <si>
    <t>Isha Kumar</t>
  </si>
  <si>
    <t>Isha Yadav</t>
  </si>
  <si>
    <t>Aman Tiwari</t>
  </si>
  <si>
    <t>Vivaan Verma</t>
  </si>
  <si>
    <t>Vivaan Kumar</t>
  </si>
  <si>
    <t>Vivaan Yadav</t>
  </si>
  <si>
    <t>Aarav Patel</t>
  </si>
  <si>
    <t>Arjun Yadav</t>
  </si>
  <si>
    <t>Aarav Chauhan</t>
  </si>
  <si>
    <t>Aman Patel</t>
  </si>
  <si>
    <t>Vikash Tiwari</t>
  </si>
  <si>
    <t>Neha Verma</t>
  </si>
  <si>
    <t>Aarav Yadav</t>
  </si>
  <si>
    <t>Neha Kumar</t>
  </si>
  <si>
    <t>Ananya Singh</t>
  </si>
  <si>
    <t>Karan Sharma</t>
  </si>
  <si>
    <t>Row Labels</t>
  </si>
  <si>
    <t>Sum of Total Sales</t>
  </si>
  <si>
    <t>Sum of Profit</t>
  </si>
  <si>
    <t>Sum of Quantity</t>
  </si>
  <si>
    <t>Jul</t>
  </si>
  <si>
    <t>Grand Total</t>
  </si>
  <si>
    <t>Total Profit</t>
  </si>
  <si>
    <t xml:space="preserve"> </t>
  </si>
  <si>
    <t>Jan</t>
  </si>
  <si>
    <t>Feb</t>
  </si>
  <si>
    <t>Mar</t>
  </si>
  <si>
    <t>Apr</t>
  </si>
  <si>
    <t>May</t>
  </si>
  <si>
    <t>Jun</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</si>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</sst>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gt;=1000000]&quot;₹&quot;0.0,,&quot;M&quot;;[&gt;=1000]&quot;₹&quot;0.0,&quot;K&quot;;&quot;₹&quot;0"/>
    <numFmt numFmtId="165" formatCode="[&gt;=1000000]&quot;₹&quot;0.0,,&quot;M&quot;;[&gt;=1000]&quot;₹&quot;0.0,&quot;K&quot;;0"/>
    <numFmt numFmtId="166" formatCode="[&gt;=1000000]&quot;₹&quot;0.0,,&quot;M&quot;;[&gt;=1000]0.0,&quot;K&quot;;0"/>
    <numFmt numFmtId="167" formatCode="[&gt;=1000000]0.0,,&quot;M&quot;;[&gt;=1000]0.0,&quot;K&quot;;0"/>
  </numFmts>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0" fontId="0" fillId="0" borderId="1" xfId="0" applyBorder="1"/>
    <xf numFmtId="164" fontId="0" fillId="0" borderId="1" xfId="0" applyNumberFormat="1" applyBorder="1"/>
    <xf numFmtId="167" fontId="0" fillId="0" borderId="1" xfId="0" applyNumberFormat="1" applyBorder="1"/>
    <xf numFmtId="0" fontId="0" fillId="0" borderId="0" xfId="0" applyNumberFormat="1"/>
  </cellXfs>
  <cellStyles count="1">
    <cellStyle name="Normal" xfId="0" builtinId="0"/>
  </cellStyles>
  <dxfs count="70">
    <dxf>
      <numFmt numFmtId="165" formatCode="[&gt;=1000000]&quot;₹&quot;0.0,,&quot;M&quot;;[&gt;=1000]&quot;₹&quot;0.0,&quot;K&quot;;0"/>
    </dxf>
    <dxf>
      <numFmt numFmtId="166" formatCode="[&gt;=1000000]&quot;₹&quot;0.0,,&quot;M&quot;;[&gt;=1000]0.0,&quot;K&quot;;0"/>
    </dxf>
    <dxf>
      <numFmt numFmtId="164" formatCode="[&gt;=1000000]&quot;₹&quot;0.0,,&quot;M&quot;;[&gt;=1000]&quot;₹&quot;0.0,&quot;K&quot;;&quot;₹&quot;0"/>
    </dxf>
    <dxf>
      <numFmt numFmtId="164" formatCode="[&gt;=1000000]&quot;₹&quot;0.0,,&quot;M&quot;;[&gt;=1000]&quot;₹&quot;0.0,&quot;K&quot;;&quot;₹&quot;0"/>
    </dxf>
    <dxf>
      <numFmt numFmtId="164" formatCode="[&gt;=1000000]&quot;₹&quot;0.0,,&quot;M&quot;;[&gt;=1000]&quot;₹&quot;0.0,&quot;K&quot;;&quot;₹&quot;0"/>
    </dxf>
    <dxf>
      <numFmt numFmtId="165" formatCode="[&gt;=1000000]&quot;₹&quot;0.0,,&quot;M&quot;;[&gt;=1000]&quot;₹&quot;0.0,&quot;K&quot;;0"/>
    </dxf>
    <dxf>
      <numFmt numFmtId="166" formatCode="[&gt;=1000000]&quot;₹&quot;0.0,,&quot;M&quot;;[&gt;=1000]0.0,&quot;K&quot;;0"/>
    </dxf>
    <dxf>
      <numFmt numFmtId="164" formatCode="[&gt;=1000000]&quot;₹&quot;0.0,,&quot;M&quot;;[&gt;=1000]&quot;₹&quot;0.0,&quot;K&quot;;&quot;₹&quot;0"/>
    </dxf>
    <dxf>
      <numFmt numFmtId="164" formatCode="[&gt;=1000000]&quot;₹&quot;0.0,,&quot;M&quot;;[&gt;=1000]&quot;₹&quot;0.0,&quot;K&quot;;&quot;₹&quot;0"/>
    </dxf>
    <dxf>
      <numFmt numFmtId="164" formatCode="[&gt;=1000000]&quot;₹&quot;0.0,,&quot;M&quot;;[&gt;=1000]&quot;₹&quot;0.0,&quot;K&quot;;&quot;₹&quot;0"/>
    </dxf>
    <dxf>
      <numFmt numFmtId="165" formatCode="[&gt;=1000000]&quot;₹&quot;0.0,,&quot;M&quot;;[&gt;=1000]&quot;₹&quot;0.0,&quot;K&quot;;0"/>
    </dxf>
    <dxf>
      <numFmt numFmtId="166" formatCode="[&gt;=1000000]&quot;₹&quot;0.0,,&quot;M&quot;;[&gt;=1000]0.0,&quot;K&quot;;0"/>
    </dxf>
    <dxf>
      <numFmt numFmtId="164" formatCode="[&gt;=1000000]&quot;₹&quot;0.0,,&quot;M&quot;;[&gt;=1000]&quot;₹&quot;0.0,&quot;K&quot;;&quot;₹&quot;0"/>
    </dxf>
    <dxf>
      <numFmt numFmtId="164" formatCode="[&gt;=1000000]&quot;₹&quot;0.0,,&quot;M&quot;;[&gt;=1000]&quot;₹&quot;0.0,&quot;K&quot;;&quot;₹&quot;0"/>
    </dxf>
    <dxf>
      <numFmt numFmtId="164" formatCode="[&gt;=1000000]&quot;₹&quot;0.0,,&quot;M&quot;;[&gt;=1000]&quot;₹&quot;0.0,&quot;K&quot;;&quot;₹&quot;0"/>
    </dxf>
    <dxf>
      <numFmt numFmtId="165" formatCode="[&gt;=1000000]&quot;₹&quot;0.0,,&quot;M&quot;;[&gt;=1000]&quot;₹&quot;0.0,&quot;K&quot;;0"/>
    </dxf>
    <dxf>
      <numFmt numFmtId="166" formatCode="[&gt;=1000000]&quot;₹&quot;0.0,,&quot;M&quot;;[&gt;=1000]0.0,&quot;K&quot;;0"/>
    </dxf>
    <dxf>
      <numFmt numFmtId="164" formatCode="[&gt;=1000000]&quot;₹&quot;0.0,,&quot;M&quot;;[&gt;=1000]&quot;₹&quot;0.0,&quot;K&quot;;&quot;₹&quot;0"/>
    </dxf>
    <dxf>
      <numFmt numFmtId="164" formatCode="[&gt;=1000000]&quot;₹&quot;0.0,,&quot;M&quot;;[&gt;=1000]&quot;₹&quot;0.0,&quot;K&quot;;&quot;₹&quot;0"/>
    </dxf>
    <dxf>
      <numFmt numFmtId="164" formatCode="[&gt;=1000000]&quot;₹&quot;0.0,,&quot;M&quot;;[&gt;=1000]&quot;₹&quot;0.0,&quot;K&quot;;&quot;₹&quot;0"/>
    </dxf>
    <dxf>
      <numFmt numFmtId="165" formatCode="[&gt;=1000000]&quot;₹&quot;0.0,,&quot;M&quot;;[&gt;=1000]&quot;₹&quot;0.0,&quot;K&quot;;0"/>
    </dxf>
    <dxf>
      <numFmt numFmtId="166" formatCode="[&gt;=1000000]&quot;₹&quot;0.0,,&quot;M&quot;;[&gt;=1000]0.0,&quot;K&quot;;0"/>
    </dxf>
    <dxf>
      <numFmt numFmtId="164" formatCode="[&gt;=1000000]&quot;₹&quot;0.0,,&quot;M&quot;;[&gt;=1000]&quot;₹&quot;0.0,&quot;K&quot;;&quot;₹&quot;0"/>
    </dxf>
    <dxf>
      <numFmt numFmtId="164" formatCode="[&gt;=1000000]&quot;₹&quot;0.0,,&quot;M&quot;;[&gt;=1000]&quot;₹&quot;0.0,&quot;K&quot;;&quot;₹&quot;0"/>
    </dxf>
    <dxf>
      <numFmt numFmtId="164" formatCode="[&gt;=1000000]&quot;₹&quot;0.0,,&quot;M&quot;;[&gt;=1000]&quot;₹&quot;0.0,&quot;K&quot;;&quot;₹&quot;0"/>
    </dxf>
    <dxf>
      <numFmt numFmtId="165" formatCode="[&gt;=1000000]&quot;₹&quot;0.0,,&quot;M&quot;;[&gt;=1000]&quot;₹&quot;0.0,&quot;K&quot;;0"/>
    </dxf>
    <dxf>
      <numFmt numFmtId="166" formatCode="[&gt;=1000000]&quot;₹&quot;0.0,,&quot;M&quot;;[&gt;=1000]0.0,&quot;K&quot;;0"/>
    </dxf>
    <dxf>
      <numFmt numFmtId="164" formatCode="[&gt;=1000000]&quot;₹&quot;0.0,,&quot;M&quot;;[&gt;=1000]&quot;₹&quot;0.0,&quot;K&quot;;&quot;₹&quot;0"/>
    </dxf>
    <dxf>
      <numFmt numFmtId="164" formatCode="[&gt;=1000000]&quot;₹&quot;0.0,,&quot;M&quot;;[&gt;=1000]&quot;₹&quot;0.0,&quot;K&quot;;&quot;₹&quot;0"/>
    </dxf>
    <dxf>
      <numFmt numFmtId="164" formatCode="[&gt;=1000000]&quot;₹&quot;0.0,,&quot;M&quot;;[&gt;=1000]&quot;₹&quot;0.0,&quot;K&quot;;&quot;₹&quot;0"/>
    </dxf>
    <dxf>
      <numFmt numFmtId="165" formatCode="[&gt;=1000000]&quot;₹&quot;0.0,,&quot;M&quot;;[&gt;=1000]&quot;₹&quot;0.0,&quot;K&quot;;0"/>
    </dxf>
    <dxf>
      <numFmt numFmtId="166" formatCode="[&gt;=1000000]&quot;₹&quot;0.0,,&quot;M&quot;;[&gt;=1000]0.0,&quot;K&quot;;0"/>
    </dxf>
    <dxf>
      <numFmt numFmtId="164" formatCode="[&gt;=1000000]&quot;₹&quot;0.0,,&quot;M&quot;;[&gt;=1000]&quot;₹&quot;0.0,&quot;K&quot;;&quot;₹&quot;0"/>
    </dxf>
    <dxf>
      <numFmt numFmtId="164" formatCode="[&gt;=1000000]&quot;₹&quot;0.0,,&quot;M&quot;;[&gt;=1000]&quot;₹&quot;0.0,&quot;K&quot;;&quot;₹&quot;0"/>
    </dxf>
    <dxf>
      <numFmt numFmtId="164" formatCode="[&gt;=1000000]&quot;₹&quot;0.0,,&quot;M&quot;;[&gt;=1000]&quot;₹&quot;0.0,&quot;K&quot;;&quot;₹&quot;0"/>
    </dxf>
    <dxf>
      <numFmt numFmtId="165" formatCode="[&gt;=1000000]&quot;₹&quot;0.0,,&quot;M&quot;;[&gt;=1000]&quot;₹&quot;0.0,&quot;K&quot;;0"/>
    </dxf>
    <dxf>
      <numFmt numFmtId="166" formatCode="[&gt;=1000000]&quot;₹&quot;0.0,,&quot;M&quot;;[&gt;=1000]0.0,&quot;K&quot;;0"/>
    </dxf>
    <dxf>
      <numFmt numFmtId="164" formatCode="[&gt;=1000000]&quot;₹&quot;0.0,,&quot;M&quot;;[&gt;=1000]&quot;₹&quot;0.0,&quot;K&quot;;&quot;₹&quot;0"/>
    </dxf>
    <dxf>
      <numFmt numFmtId="164" formatCode="[&gt;=1000000]&quot;₹&quot;0.0,,&quot;M&quot;;[&gt;=1000]&quot;₹&quot;0.0,&quot;K&quot;;&quot;₹&quot;0"/>
    </dxf>
    <dxf>
      <numFmt numFmtId="164" formatCode="[&gt;=1000000]&quot;₹&quot;0.0,,&quot;M&quot;;[&gt;=1000]&quot;₹&quot;0.0,&quot;K&quot;;&quot;₹&quot;0"/>
    </dxf>
    <dxf>
      <numFmt numFmtId="165" formatCode="[&gt;=1000000]&quot;₹&quot;0.0,,&quot;M&quot;;[&gt;=1000]&quot;₹&quot;0.0,&quot;K&quot;;0"/>
    </dxf>
    <dxf>
      <numFmt numFmtId="166" formatCode="[&gt;=1000000]&quot;₹&quot;0.0,,&quot;M&quot;;[&gt;=1000]0.0,&quot;K&quot;;0"/>
    </dxf>
    <dxf>
      <numFmt numFmtId="164" formatCode="[&gt;=1000000]&quot;₹&quot;0.0,,&quot;M&quot;;[&gt;=1000]&quot;₹&quot;0.0,&quot;K&quot;;&quot;₹&quot;0"/>
    </dxf>
    <dxf>
      <numFmt numFmtId="164" formatCode="[&gt;=1000000]&quot;₹&quot;0.0,,&quot;M&quot;;[&gt;=1000]&quot;₹&quot;0.0,&quot;K&quot;;&quot;₹&quot;0"/>
    </dxf>
    <dxf>
      <numFmt numFmtId="164" formatCode="[&gt;=1000000]&quot;₹&quot;0.0,,&quot;M&quot;;[&gt;=1000]&quot;₹&quot;0.0,&quot;K&quot;;&quot;₹&quot;0"/>
    </dxf>
    <dxf>
      <numFmt numFmtId="165" formatCode="[&gt;=1000000]&quot;₹&quot;0.0,,&quot;M&quot;;[&gt;=1000]&quot;₹&quot;0.0,&quot;K&quot;;0"/>
    </dxf>
    <dxf>
      <numFmt numFmtId="166" formatCode="[&gt;=1000000]&quot;₹&quot;0.0,,&quot;M&quot;;[&gt;=1000]0.0,&quot;K&quot;;0"/>
    </dxf>
    <dxf>
      <numFmt numFmtId="164" formatCode="[&gt;=1000000]&quot;₹&quot;0.0,,&quot;M&quot;;[&gt;=1000]&quot;₹&quot;0.0,&quot;K&quot;;&quot;₹&quot;0"/>
    </dxf>
    <dxf>
      <numFmt numFmtId="164" formatCode="[&gt;=1000000]&quot;₹&quot;0.0,,&quot;M&quot;;[&gt;=1000]&quot;₹&quot;0.0,&quot;K&quot;;&quot;₹&quot;0"/>
    </dxf>
    <dxf>
      <numFmt numFmtId="164" formatCode="[&gt;=1000000]&quot;₹&quot;0.0,,&quot;M&quot;;[&gt;=1000]&quot;₹&quot;0.0,&quot;K&quot;;&quot;₹&quot;0"/>
    </dxf>
    <dxf>
      <numFmt numFmtId="165" formatCode="[&gt;=1000000]&quot;₹&quot;0.0,,&quot;M&quot;;[&gt;=1000]&quot;₹&quot;0.0,&quot;K&quot;;0"/>
    </dxf>
    <dxf>
      <numFmt numFmtId="166" formatCode="[&gt;=1000000]&quot;₹&quot;0.0,,&quot;M&quot;;[&gt;=1000]0.0,&quot;K&quot;;0"/>
    </dxf>
    <dxf>
      <numFmt numFmtId="164" formatCode="[&gt;=1000000]&quot;₹&quot;0.0,,&quot;M&quot;;[&gt;=1000]&quot;₹&quot;0.0,&quot;K&quot;;&quot;₹&quot;0"/>
    </dxf>
    <dxf>
      <numFmt numFmtId="164" formatCode="[&gt;=1000000]&quot;₹&quot;0.0,,&quot;M&quot;;[&gt;=1000]&quot;₹&quot;0.0,&quot;K&quot;;&quot;₹&quot;0"/>
    </dxf>
    <dxf>
      <numFmt numFmtId="164" formatCode="[&gt;=1000000]&quot;₹&quot;0.0,,&quot;M&quot;;[&gt;=1000]&quot;₹&quot;0.0,&quot;K&quot;;&quot;₹&quot;0"/>
    </dxf>
    <dxf>
      <numFmt numFmtId="165" formatCode="[&gt;=1000000]&quot;₹&quot;0.0,,&quot;M&quot;;[&gt;=1000]&quot;₹&quot;0.0,&quot;K&quot;;0"/>
    </dxf>
    <dxf>
      <numFmt numFmtId="166" formatCode="[&gt;=1000000]&quot;₹&quot;0.0,,&quot;M&quot;;[&gt;=1000]0.0,&quot;K&quot;;0"/>
    </dxf>
    <dxf>
      <numFmt numFmtId="164" formatCode="[&gt;=1000000]&quot;₹&quot;0.0,,&quot;M&quot;;[&gt;=1000]&quot;₹&quot;0.0,&quot;K&quot;;&quot;₹&quot;0"/>
    </dxf>
    <dxf>
      <numFmt numFmtId="164" formatCode="[&gt;=1000000]&quot;₹&quot;0.0,,&quot;M&quot;;[&gt;=1000]&quot;₹&quot;0.0,&quot;K&quot;;&quot;₹&quot;0"/>
    </dxf>
    <dxf>
      <numFmt numFmtId="164" formatCode="[&gt;=1000000]&quot;₹&quot;0.0,,&quot;M&quot;;[&gt;=1000]&quot;₹&quot;0.0,&quot;K&quot;;&quot;₹&quot;0"/>
    </dxf>
    <dxf>
      <numFmt numFmtId="164" formatCode="[&gt;=1000000]&quot;₹&quot;0.0,,&quot;M&quot;;[&gt;=1000]&quot;₹&quot;0.0,&quot;K&quot;;&quot;₹&quot;0"/>
    </dxf>
    <dxf>
      <numFmt numFmtId="164" formatCode="[&gt;=1000000]&quot;₹&quot;0.0,,&quot;M&quot;;[&gt;=1000]&quot;₹&quot;0.0,&quot;K&quot;;&quot;₹&quot;0"/>
    </dxf>
    <dxf>
      <numFmt numFmtId="166" formatCode="[&gt;=1000000]&quot;₹&quot;0.0,,&quot;M&quot;;[&gt;=1000]0.0,&quot;K&quot;;0"/>
    </dxf>
    <dxf>
      <numFmt numFmtId="165" formatCode="[&gt;=1000000]&quot;₹&quot;0.0,,&quot;M&quot;;[&gt;=1000]&quot;₹&quot;0.0,&quot;K&quot;;0"/>
    </dxf>
    <dxf>
      <numFmt numFmtId="164" formatCode="[&gt;=1000000]&quot;₹&quot;0.0,,&quot;M&quot;;[&gt;=1000]&quot;₹&quot;0.0,&quot;K&quot;;&quot;₹&quot;0"/>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colors>
    <mruColors>
      <color rgb="FFAFF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[DASHBOARD.xlsx]Pivot!PivotTable3</c:name>
    <c:fmtId val="3"/>
  </c:pivotSource>
  <c:chart>
    <c:title>
      <c:tx>
        <c:rich>
          <a:bodyPr rot="0" spcFirstLastPara="1" vertOverflow="ellipsis" vert="horz" wrap="square" anchor="ctr" anchorCtr="1"/>
          <a:lstStyle/>
          <a:p>
            <a:pPr>
              <a:defRPr sz="1600" b="1" i="0" u="none" strike="noStrike" kern="1200" cap="all" spc="50" baseline="0">
                <a:solidFill>
                  <a:schemeClr val="tx1"/>
                </a:solidFill>
                <a:latin typeface="+mn-lt"/>
                <a:ea typeface="+mn-ea"/>
                <a:cs typeface="+mn-cs"/>
              </a:defRPr>
            </a:pPr>
            <a:r>
              <a:rPr lang="en-US" sz="1600">
                <a:solidFill>
                  <a:schemeClr val="tx1"/>
                </a:solidFill>
              </a:rPr>
              <a:t>Total Sales &amp; PROFIT BY MONTHS</a:t>
            </a:r>
          </a:p>
        </c:rich>
      </c:tx>
      <c:layout>
        <c:manualLayout>
          <c:xMode val="edge"/>
          <c:yMode val="edge"/>
          <c:x val="0.14225395009966679"/>
          <c:y val="2.192575456103172E-2"/>
        </c:manualLayout>
      </c:layout>
      <c:overlay val="0"/>
      <c:spPr>
        <a:noFill/>
        <a:ln>
          <a:noFill/>
        </a:ln>
        <a:effectLst/>
      </c:spPr>
      <c:txPr>
        <a:bodyPr rot="0" spcFirstLastPara="1" vertOverflow="ellipsis" vert="horz" wrap="square" anchor="ctr" anchorCtr="1"/>
        <a:lstStyle/>
        <a:p>
          <a:pPr>
            <a:defRPr sz="1600" b="1" i="0" u="none" strike="noStrike" kern="1200" cap="all" spc="5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pivotFmt>
      <c:pivotFmt>
        <c:idx val="17"/>
        <c:spPr>
          <a:gradFill flip="none" rotWithShape="1">
            <a:gsLst>
              <a:gs pos="100000">
                <a:schemeClr val="accent4">
                  <a:alpha val="0"/>
                </a:schemeClr>
              </a:gs>
              <a:gs pos="50000">
                <a:schemeClr val="accent4"/>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flip="none" rotWithShape="1">
            <a:gsLst>
              <a:gs pos="100000">
                <a:schemeClr val="accent4">
                  <a:alpha val="0"/>
                </a:schemeClr>
              </a:gs>
              <a:gs pos="50000">
                <a:schemeClr val="accent4"/>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Pivot!$B$3</c:f>
              <c:strCache>
                <c:ptCount val="1"/>
                <c:pt idx="0">
                  <c:v>Sum of Total Sales</c:v>
                </c:pt>
              </c:strCache>
            </c:strRef>
          </c:tx>
          <c:spPr>
            <a:gradFill flip="none" rotWithShape="1">
              <a:gsLst>
                <a:gs pos="100000">
                  <a:schemeClr val="accent4">
                    <a:shade val="76000"/>
                    <a:alpha val="0"/>
                  </a:schemeClr>
                </a:gs>
                <a:gs pos="50000">
                  <a:schemeClr val="accent4">
                    <a:shade val="76000"/>
                  </a:schemeClr>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Pivot!$B$4:$B$16</c:f>
              <c:numCache>
                <c:formatCode>[&gt;=1000000]"₹"0.0,,"M";[&gt;=1000]"₹"0.0,"K";"₹"0</c:formatCode>
                <c:ptCount val="12"/>
                <c:pt idx="0">
                  <c:v>4109214</c:v>
                </c:pt>
                <c:pt idx="1">
                  <c:v>4917511</c:v>
                </c:pt>
                <c:pt idx="2">
                  <c:v>3343250</c:v>
                </c:pt>
                <c:pt idx="3">
                  <c:v>5164318</c:v>
                </c:pt>
                <c:pt idx="4">
                  <c:v>4840541</c:v>
                </c:pt>
                <c:pt idx="5">
                  <c:v>4219086</c:v>
                </c:pt>
                <c:pt idx="6">
                  <c:v>5267029</c:v>
                </c:pt>
                <c:pt idx="7">
                  <c:v>5613360</c:v>
                </c:pt>
                <c:pt idx="8">
                  <c:v>4033474</c:v>
                </c:pt>
                <c:pt idx="9">
                  <c:v>5749310</c:v>
                </c:pt>
                <c:pt idx="10">
                  <c:v>2956854</c:v>
                </c:pt>
                <c:pt idx="11">
                  <c:v>3859822</c:v>
                </c:pt>
              </c:numCache>
            </c:numRef>
          </c:val>
          <c:extLst>
            <c:ext xmlns:c16="http://schemas.microsoft.com/office/drawing/2014/chart" uri="{C3380CC4-5D6E-409C-BE32-E72D297353CC}">
              <c16:uniqueId val="{0000000E-95CC-4536-AEFF-DB2E51358607}"/>
            </c:ext>
          </c:extLst>
        </c:ser>
        <c:ser>
          <c:idx val="1"/>
          <c:order val="1"/>
          <c:tx>
            <c:strRef>
              <c:f>Pivot!$C$3</c:f>
              <c:strCache>
                <c:ptCount val="1"/>
                <c:pt idx="0">
                  <c:v>Sum of Profit</c:v>
                </c:pt>
              </c:strCache>
            </c:strRef>
          </c:tx>
          <c:spPr>
            <a:gradFill flip="none" rotWithShape="1">
              <a:gsLst>
                <a:gs pos="100000">
                  <a:schemeClr val="accent4">
                    <a:tint val="77000"/>
                    <a:alpha val="0"/>
                  </a:schemeClr>
                </a:gs>
                <a:gs pos="50000">
                  <a:schemeClr val="accent4">
                    <a:tint val="77000"/>
                  </a:schemeClr>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Pivot!$C$4:$C$16</c:f>
              <c:numCache>
                <c:formatCode>[&gt;=1000000]"₹"0.0,,"M";[&gt;=1000]"₹"0.0,"K";"₹"0</c:formatCode>
                <c:ptCount val="12"/>
                <c:pt idx="0">
                  <c:v>613807.86</c:v>
                </c:pt>
                <c:pt idx="1">
                  <c:v>822391.83</c:v>
                </c:pt>
                <c:pt idx="2">
                  <c:v>526580.61</c:v>
                </c:pt>
                <c:pt idx="3">
                  <c:v>875884.62000000011</c:v>
                </c:pt>
                <c:pt idx="4">
                  <c:v>815755.50000000012</c:v>
                </c:pt>
                <c:pt idx="5">
                  <c:v>692253.55999999971</c:v>
                </c:pt>
                <c:pt idx="6">
                  <c:v>864882.98999999987</c:v>
                </c:pt>
                <c:pt idx="7">
                  <c:v>1052993.7300000002</c:v>
                </c:pt>
                <c:pt idx="8">
                  <c:v>732176.6399999999</c:v>
                </c:pt>
                <c:pt idx="9">
                  <c:v>944553.96999999986</c:v>
                </c:pt>
                <c:pt idx="10">
                  <c:v>502391.60999999993</c:v>
                </c:pt>
                <c:pt idx="11">
                  <c:v>668625.9700000002</c:v>
                </c:pt>
              </c:numCache>
            </c:numRef>
          </c:val>
          <c:extLst>
            <c:ext xmlns:c16="http://schemas.microsoft.com/office/drawing/2014/chart" uri="{C3380CC4-5D6E-409C-BE32-E72D297353CC}">
              <c16:uniqueId val="{00000010-95CC-4536-AEFF-DB2E51358607}"/>
            </c:ext>
          </c:extLst>
        </c:ser>
        <c:dLbls>
          <c:showLegendKey val="0"/>
          <c:showVal val="1"/>
          <c:showCatName val="0"/>
          <c:showSerName val="0"/>
          <c:showPercent val="0"/>
          <c:showBubbleSize val="0"/>
        </c:dLbls>
        <c:gapWidth val="150"/>
        <c:gapDepth val="0"/>
        <c:shape val="box"/>
        <c:axId val="37714528"/>
        <c:axId val="155121296"/>
        <c:axId val="0"/>
      </c:bar3DChart>
      <c:catAx>
        <c:axId val="37714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21296"/>
        <c:crosses val="autoZero"/>
        <c:auto val="1"/>
        <c:lblAlgn val="ctr"/>
        <c:lblOffset val="100"/>
        <c:noMultiLvlLbl val="0"/>
      </c:catAx>
      <c:valAx>
        <c:axId val="155121296"/>
        <c:scaling>
          <c:orientation val="minMax"/>
        </c:scaling>
        <c:delete val="0"/>
        <c:axPos val="b"/>
        <c:majorGridlines>
          <c:spPr>
            <a:ln w="9525" cap="flat" cmpd="sng" algn="ctr">
              <a:solidFill>
                <a:schemeClr val="tx1">
                  <a:lumMod val="5000"/>
                  <a:lumOff val="95000"/>
                </a:schemeClr>
              </a:solidFill>
              <a:round/>
            </a:ln>
            <a:effectLst/>
          </c:spPr>
        </c:majorGridlines>
        <c:numFmt formatCode="[&gt;=1000000]&quot;₹&quot;0.0,,&quot;M&quot;;[&gt;=1000]&quot;₹&quot;0.0,&quot;K&quot;;&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1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[DASHBOARD.xlsx]Pivot!PivotTable4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TOTAL</a:t>
            </a:r>
            <a:r>
              <a:rPr lang="en-US" sz="1600" b="1" baseline="0">
                <a:solidFill>
                  <a:schemeClr val="tx1"/>
                </a:solidFill>
              </a:rPr>
              <a:t> SALES &amp; PROFIT</a:t>
            </a:r>
            <a:r>
              <a:rPr lang="en-US" sz="1600" b="1">
                <a:solidFill>
                  <a:schemeClr val="tx1"/>
                </a:solidFill>
              </a:rPr>
              <a:t> BY</a:t>
            </a:r>
            <a:r>
              <a:rPr lang="en-US" sz="1600" b="1" baseline="0">
                <a:solidFill>
                  <a:schemeClr val="tx1"/>
                </a:solidFill>
              </a:rPr>
              <a:t> REGION</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Pivot!$G$3</c:f>
              <c:strCache>
                <c:ptCount val="1"/>
                <c:pt idx="0">
                  <c:v>Sum of Total Sales</c:v>
                </c:pt>
              </c:strCache>
            </c:strRef>
          </c:tx>
          <c:spPr>
            <a:solidFill>
              <a:schemeClr val="accent4">
                <a:shade val="76000"/>
              </a:schemeClr>
            </a:solidFill>
            <a:ln>
              <a:noFill/>
            </a:ln>
            <a:effectLst/>
          </c:spPr>
          <c:invertIfNegative val="0"/>
          <c:cat>
            <c:strRef>
              <c:f>Pivot!$F$4:$F$9</c:f>
              <c:strCache>
                <c:ptCount val="5"/>
                <c:pt idx="0">
                  <c:v>Central</c:v>
                </c:pt>
                <c:pt idx="1">
                  <c:v>East</c:v>
                </c:pt>
                <c:pt idx="2">
                  <c:v>North</c:v>
                </c:pt>
                <c:pt idx="3">
                  <c:v>South</c:v>
                </c:pt>
                <c:pt idx="4">
                  <c:v>West</c:v>
                </c:pt>
              </c:strCache>
            </c:strRef>
          </c:cat>
          <c:val>
            <c:numRef>
              <c:f>Pivot!$G$4:$G$9</c:f>
              <c:numCache>
                <c:formatCode>[&gt;=1000000]"₹"0.0,,"M";[&gt;=1000]"₹"0.0,"K";"₹"0</c:formatCode>
                <c:ptCount val="5"/>
                <c:pt idx="0">
                  <c:v>12455052</c:v>
                </c:pt>
                <c:pt idx="1">
                  <c:v>10452585</c:v>
                </c:pt>
                <c:pt idx="2">
                  <c:v>11218348</c:v>
                </c:pt>
                <c:pt idx="3">
                  <c:v>9665347</c:v>
                </c:pt>
                <c:pt idx="4">
                  <c:v>10282437</c:v>
                </c:pt>
              </c:numCache>
            </c:numRef>
          </c:val>
          <c:extLst>
            <c:ext xmlns:c16="http://schemas.microsoft.com/office/drawing/2014/chart" uri="{C3380CC4-5D6E-409C-BE32-E72D297353CC}">
              <c16:uniqueId val="{00000000-0B0D-4F2D-8BB8-A545A42E1246}"/>
            </c:ext>
          </c:extLst>
        </c:ser>
        <c:ser>
          <c:idx val="1"/>
          <c:order val="1"/>
          <c:tx>
            <c:strRef>
              <c:f>Pivot!$H$3</c:f>
              <c:strCache>
                <c:ptCount val="1"/>
                <c:pt idx="0">
                  <c:v>Sum of Profit</c:v>
                </c:pt>
              </c:strCache>
            </c:strRef>
          </c:tx>
          <c:spPr>
            <a:solidFill>
              <a:schemeClr val="accent4">
                <a:tint val="77000"/>
              </a:schemeClr>
            </a:solidFill>
            <a:ln>
              <a:noFill/>
            </a:ln>
            <a:effectLst/>
          </c:spPr>
          <c:invertIfNegative val="0"/>
          <c:cat>
            <c:strRef>
              <c:f>Pivot!$F$4:$F$9</c:f>
              <c:strCache>
                <c:ptCount val="5"/>
                <c:pt idx="0">
                  <c:v>Central</c:v>
                </c:pt>
                <c:pt idx="1">
                  <c:v>East</c:v>
                </c:pt>
                <c:pt idx="2">
                  <c:v>North</c:v>
                </c:pt>
                <c:pt idx="3">
                  <c:v>South</c:v>
                </c:pt>
                <c:pt idx="4">
                  <c:v>West</c:v>
                </c:pt>
              </c:strCache>
            </c:strRef>
          </c:cat>
          <c:val>
            <c:numRef>
              <c:f>Pivot!$H$4:$H$9</c:f>
              <c:numCache>
                <c:formatCode>[&gt;=1000000]"₹"0.0,,"M";[&gt;=1000]"₹"0.0,"K";"₹"0</c:formatCode>
                <c:ptCount val="5"/>
                <c:pt idx="0">
                  <c:v>2134277.2199999993</c:v>
                </c:pt>
                <c:pt idx="1">
                  <c:v>1888092.5599999998</c:v>
                </c:pt>
                <c:pt idx="2">
                  <c:v>1722808.95</c:v>
                </c:pt>
                <c:pt idx="3">
                  <c:v>1562847.0499999993</c:v>
                </c:pt>
                <c:pt idx="4">
                  <c:v>1804273.11</c:v>
                </c:pt>
              </c:numCache>
            </c:numRef>
          </c:val>
          <c:extLst>
            <c:ext xmlns:c16="http://schemas.microsoft.com/office/drawing/2014/chart" uri="{C3380CC4-5D6E-409C-BE32-E72D297353CC}">
              <c16:uniqueId val="{00000001-0B0D-4F2D-8BB8-A545A42E1246}"/>
            </c:ext>
          </c:extLst>
        </c:ser>
        <c:dLbls>
          <c:showLegendKey val="0"/>
          <c:showVal val="0"/>
          <c:showCatName val="0"/>
          <c:showSerName val="0"/>
          <c:showPercent val="0"/>
          <c:showBubbleSize val="0"/>
        </c:dLbls>
        <c:gapWidth val="219"/>
        <c:overlap val="-27"/>
        <c:axId val="231903440"/>
        <c:axId val="261172112"/>
      </c:barChart>
      <c:catAx>
        <c:axId val="23190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172112"/>
        <c:crosses val="autoZero"/>
        <c:auto val="1"/>
        <c:lblAlgn val="ctr"/>
        <c:lblOffset val="100"/>
        <c:noMultiLvlLbl val="0"/>
      </c:catAx>
      <c:valAx>
        <c:axId val="261172112"/>
        <c:scaling>
          <c:orientation val="minMax"/>
        </c:scaling>
        <c:delete val="0"/>
        <c:axPos val="l"/>
        <c:majorGridlines>
          <c:spPr>
            <a:ln w="9525" cap="flat" cmpd="sng" algn="ctr">
              <a:solidFill>
                <a:schemeClr val="tx1">
                  <a:lumMod val="15000"/>
                  <a:lumOff val="85000"/>
                </a:schemeClr>
              </a:solidFill>
              <a:round/>
            </a:ln>
            <a:effectLst/>
          </c:spPr>
        </c:majorGridlines>
        <c:numFmt formatCode="[&gt;=1000000]&quot;₹&quot;0.0,,&quot;M&quot;;[&gt;=1000]&quot;₹&quot;0.0,&quot;K&quot;;&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903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[DASHBOARD.xlsx]Pivot!PivotTable6</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600">
                <a:solidFill>
                  <a:schemeClr val="tx1"/>
                </a:solidFill>
              </a:rPr>
              <a:t>TOTAL SALES BY CATEGORY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solidFill>
          <a:ln>
            <a:noFill/>
          </a:ln>
          <a:effectLst/>
          <a:scene3d>
            <a:camera prst="orthographicFront"/>
            <a:lightRig rig="brightRoom" dir="t"/>
          </a:scene3d>
          <a:sp3d prstMaterial="flat">
            <a:bevelT w="50800" h="101600" prst="angle"/>
            <a:contourClr>
              <a:srgbClr val="000000"/>
            </a:contourClr>
          </a:sp3d>
        </c:spPr>
        <c:dLbl>
          <c:idx val="0"/>
          <c:layout>
            <c:manualLayout>
              <c:x val="0.2356097280999577"/>
              <c:y val="0.1031317121894375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10107"/>
                    <a:gd name="adj2" fmla="val -95186"/>
                  </a:avLst>
                </a:prstGeom>
                <a:noFill/>
                <a:ln>
                  <a:noFill/>
                </a:ln>
              </c15:spPr>
            </c:ext>
          </c:extLst>
        </c:dLbl>
      </c:pivotFmt>
      <c:pivotFmt>
        <c:idx val="4"/>
        <c:spPr>
          <a:solidFill>
            <a:schemeClr val="accent4">
              <a:tint val="7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619816880687211"/>
              <c:y val="-7.734878414207814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4"/>
          </a:solidFill>
          <a:ln>
            <a:noFill/>
          </a:ln>
          <a:effectLst/>
          <a:scene3d>
            <a:camera prst="orthographicFront"/>
            <a:lightRig rig="brightRoom" dir="t"/>
          </a:scene3d>
          <a:sp3d prstMaterial="flat">
            <a:bevelT w="50800" h="101600" prst="angle"/>
            <a:contourClr>
              <a:srgbClr val="000000"/>
            </a:contourClr>
          </a:sp3d>
        </c:spPr>
        <c:dLbl>
          <c:idx val="0"/>
          <c:layout>
            <c:manualLayout>
              <c:x val="-0.14480181206143244"/>
              <c:y val="-3.437723739647917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4">
              <a:shade val="9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5014053060945434"/>
              <c:y val="1.42480624015193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4">
              <a:shade val="5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1044206004685526"/>
              <c:y val="-0.137508949585916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4">
              <a:shade val="7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2639480205362325"/>
              <c:y val="-0.107428866863997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705130521644035"/>
                  <c:h val="0.10834784891880882"/>
                </c:manualLayout>
              </c15:layout>
            </c:ext>
          </c:extLst>
        </c:dLbl>
      </c:pivotFmt>
    </c:pivotFmts>
    <c:plotArea>
      <c:layout>
        <c:manualLayout>
          <c:layoutTarget val="inner"/>
          <c:xMode val="edge"/>
          <c:yMode val="edge"/>
          <c:x val="0.30824072896321353"/>
          <c:y val="0.24107104112795083"/>
          <c:w val="0.84610919300080378"/>
          <c:h val="0.71027887430127279"/>
        </c:manualLayout>
      </c:layout>
      <c:doughnutChart>
        <c:varyColors val="1"/>
        <c:ser>
          <c:idx val="0"/>
          <c:order val="0"/>
          <c:tx>
            <c:strRef>
              <c:f>Pivot!$I$20</c:f>
              <c:strCache>
                <c:ptCount val="1"/>
                <c:pt idx="0">
                  <c:v>Total</c:v>
                </c:pt>
              </c:strCache>
            </c:strRef>
          </c:tx>
          <c:dPt>
            <c:idx val="0"/>
            <c:bubble3D val="0"/>
            <c:spPr>
              <a:solidFill>
                <a:schemeClr val="accent4">
                  <a:shade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976-4873-9BBE-C05D7A3F5963}"/>
              </c:ext>
            </c:extLst>
          </c:dPt>
          <c:dPt>
            <c:idx val="1"/>
            <c:bubble3D val="0"/>
            <c:spPr>
              <a:solidFill>
                <a:schemeClr val="accent4">
                  <a:shade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E976-4873-9BBE-C05D7A3F5963}"/>
              </c:ext>
            </c:extLst>
          </c:dPt>
          <c:dPt>
            <c:idx val="2"/>
            <c:bubble3D val="0"/>
            <c:spPr>
              <a:solidFill>
                <a:schemeClr val="accent4">
                  <a:shade val="9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976-4873-9BBE-C05D7A3F5963}"/>
              </c:ext>
            </c:extLst>
          </c:dPt>
          <c:dPt>
            <c:idx val="3"/>
            <c:bubble3D val="0"/>
            <c:spPr>
              <a:solidFill>
                <a:schemeClr val="accent4">
                  <a:tint val="9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E976-4873-9BBE-C05D7A3F5963}"/>
              </c:ext>
            </c:extLst>
          </c:dPt>
          <c:dPt>
            <c:idx val="4"/>
            <c:bubble3D val="0"/>
            <c:spPr>
              <a:solidFill>
                <a:schemeClr val="accent4">
                  <a:tint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976-4873-9BBE-C05D7A3F5963}"/>
              </c:ext>
            </c:extLst>
          </c:dPt>
          <c:dPt>
            <c:idx val="5"/>
            <c:bubble3D val="0"/>
            <c:spPr>
              <a:solidFill>
                <a:schemeClr val="accent4">
                  <a:tint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E976-4873-9BBE-C05D7A3F5963}"/>
              </c:ext>
            </c:extLst>
          </c:dPt>
          <c:dLbls>
            <c:dLbl>
              <c:idx val="0"/>
              <c:layout>
                <c:manualLayout>
                  <c:x val="-0.11044206004685526"/>
                  <c:y val="-0.137508949585916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976-4873-9BBE-C05D7A3F5963}"/>
                </c:ext>
              </c:extLst>
            </c:dLbl>
            <c:dLbl>
              <c:idx val="1"/>
              <c:layout>
                <c:manualLayout>
                  <c:x val="0.12639480205362325"/>
                  <c:y val="-0.10742886686399744"/>
                </c:manualLayout>
              </c:layout>
              <c:showLegendKey val="0"/>
              <c:showVal val="0"/>
              <c:showCatName val="1"/>
              <c:showSerName val="0"/>
              <c:showPercent val="1"/>
              <c:showBubbleSize val="0"/>
              <c:extLst>
                <c:ext xmlns:c15="http://schemas.microsoft.com/office/drawing/2012/chart" uri="{CE6537A1-D6FC-4f65-9D91-7224C49458BB}">
                  <c15:layout>
                    <c:manualLayout>
                      <c:w val="0.10705130521644035"/>
                      <c:h val="0.10834784891880882"/>
                    </c:manualLayout>
                  </c15:layout>
                </c:ext>
                <c:ext xmlns:c16="http://schemas.microsoft.com/office/drawing/2014/chart" uri="{C3380CC4-5D6E-409C-BE32-E72D297353CC}">
                  <c16:uniqueId val="{00000006-E976-4873-9BBE-C05D7A3F5963}"/>
                </c:ext>
              </c:extLst>
            </c:dLbl>
            <c:dLbl>
              <c:idx val="2"/>
              <c:layout>
                <c:manualLayout>
                  <c:x val="0.15014053060945434"/>
                  <c:y val="1.424806240151932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976-4873-9BBE-C05D7A3F5963}"/>
                </c:ext>
              </c:extLst>
            </c:dLbl>
            <c:dLbl>
              <c:idx val="3"/>
              <c:layout>
                <c:manualLayout>
                  <c:x val="-0.14480181206143244"/>
                  <c:y val="-3.437723739647917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976-4873-9BBE-C05D7A3F5963}"/>
                </c:ext>
              </c:extLst>
            </c:dLbl>
            <c:dLbl>
              <c:idx val="4"/>
              <c:layout>
                <c:manualLayout>
                  <c:x val="-0.1619816880687211"/>
                  <c:y val="-7.734878414207814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976-4873-9BBE-C05D7A3F5963}"/>
                </c:ext>
              </c:extLst>
            </c:dLbl>
            <c:dLbl>
              <c:idx val="5"/>
              <c:layout>
                <c:manualLayout>
                  <c:x val="0.2356097280999577"/>
                  <c:y val="0.1031317121894375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10107"/>
                        <a:gd name="adj2" fmla="val -95186"/>
                      </a:avLst>
                    </a:prstGeom>
                    <a:noFill/>
                    <a:ln>
                      <a:noFill/>
                    </a:ln>
                  </c15:spPr>
                </c:ext>
                <c:ext xmlns:c16="http://schemas.microsoft.com/office/drawing/2014/chart" uri="{C3380CC4-5D6E-409C-BE32-E72D297353CC}">
                  <c16:uniqueId val="{00000002-E976-4873-9BBE-C05D7A3F596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Pivot!$H$21:$H$27</c:f>
              <c:strCache>
                <c:ptCount val="6"/>
                <c:pt idx="0">
                  <c:v>Accessories</c:v>
                </c:pt>
                <c:pt idx="1">
                  <c:v>Bags</c:v>
                </c:pt>
                <c:pt idx="2">
                  <c:v>Electronics</c:v>
                </c:pt>
                <c:pt idx="3">
                  <c:v>Fashion</c:v>
                </c:pt>
                <c:pt idx="4">
                  <c:v>Furniture</c:v>
                </c:pt>
                <c:pt idx="5">
                  <c:v>Stationery</c:v>
                </c:pt>
              </c:strCache>
            </c:strRef>
          </c:cat>
          <c:val>
            <c:numRef>
              <c:f>Pivot!$I$21:$I$27</c:f>
              <c:numCache>
                <c:formatCode>General</c:formatCode>
                <c:ptCount val="6"/>
                <c:pt idx="0">
                  <c:v>335607</c:v>
                </c:pt>
                <c:pt idx="1">
                  <c:v>1068247</c:v>
                </c:pt>
                <c:pt idx="2">
                  <c:v>39459516</c:v>
                </c:pt>
                <c:pt idx="3">
                  <c:v>3318972</c:v>
                </c:pt>
                <c:pt idx="4">
                  <c:v>9763054</c:v>
                </c:pt>
                <c:pt idx="5">
                  <c:v>128373</c:v>
                </c:pt>
              </c:numCache>
            </c:numRef>
          </c:val>
          <c:extLst>
            <c:ext xmlns:c16="http://schemas.microsoft.com/office/drawing/2014/chart" uri="{C3380CC4-5D6E-409C-BE32-E72D297353CC}">
              <c16:uniqueId val="{00000000-E976-4873-9BBE-C05D7A3F5963}"/>
            </c:ext>
          </c:extLst>
        </c:ser>
        <c:dLbls>
          <c:showLegendKey val="0"/>
          <c:showVal val="0"/>
          <c:showCatName val="0"/>
          <c:showSerName val="0"/>
          <c:showPercent val="1"/>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[DASHBOARD.xlsx]Pivot!PivotTable5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TOTAL</a:t>
            </a:r>
            <a:r>
              <a:rPr lang="en-US" sz="1600" b="1" baseline="0">
                <a:solidFill>
                  <a:schemeClr val="tx1"/>
                </a:solidFill>
              </a:rPr>
              <a:t> SALES BY PRODUCT</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Pivot!$L$3</c:f>
              <c:strCache>
                <c:ptCount val="1"/>
                <c:pt idx="0">
                  <c:v>Total</c:v>
                </c:pt>
              </c:strCache>
            </c:strRef>
          </c:tx>
          <c:spPr>
            <a:solidFill>
              <a:schemeClr val="accent4"/>
            </a:solidFill>
            <a:ln>
              <a:noFill/>
            </a:ln>
            <a:effectLst/>
          </c:spPr>
          <c:invertIfNegative val="0"/>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Pivot!$K$4:$K$19</c:f>
              <c:strCache>
                <c:ptCount val="15"/>
                <c:pt idx="0">
                  <c:v>Backpack</c:v>
                </c:pt>
                <c:pt idx="1">
                  <c:v>Desk</c:v>
                </c:pt>
                <c:pt idx="2">
                  <c:v>Headphones</c:v>
                </c:pt>
                <c:pt idx="3">
                  <c:v>Jeans</c:v>
                </c:pt>
                <c:pt idx="4">
                  <c:v>Keyboard</c:v>
                </c:pt>
                <c:pt idx="5">
                  <c:v>Laptop</c:v>
                </c:pt>
                <c:pt idx="6">
                  <c:v>Mobile</c:v>
                </c:pt>
                <c:pt idx="7">
                  <c:v>Monitor</c:v>
                </c:pt>
                <c:pt idx="8">
                  <c:v>Mouse</c:v>
                </c:pt>
                <c:pt idx="9">
                  <c:v>Notebook</c:v>
                </c:pt>
                <c:pt idx="10">
                  <c:v>Office Chair</c:v>
                </c:pt>
                <c:pt idx="11">
                  <c:v>Pen Set</c:v>
                </c:pt>
                <c:pt idx="12">
                  <c:v>Shoes</c:v>
                </c:pt>
                <c:pt idx="13">
                  <c:v>T-Shirt</c:v>
                </c:pt>
                <c:pt idx="14">
                  <c:v>Water Bottle</c:v>
                </c:pt>
              </c:strCache>
            </c:strRef>
          </c:cat>
          <c:val>
            <c:numRef>
              <c:f>Pivot!$L$4:$L$19</c:f>
              <c:numCache>
                <c:formatCode>[&gt;=1000000]"₹"0.0,,"M";[&gt;=1000]"₹"0.0,"K";0</c:formatCode>
                <c:ptCount val="15"/>
                <c:pt idx="0">
                  <c:v>465</c:v>
                </c:pt>
                <c:pt idx="1">
                  <c:v>482</c:v>
                </c:pt>
                <c:pt idx="2">
                  <c:v>467</c:v>
                </c:pt>
                <c:pt idx="3">
                  <c:v>370</c:v>
                </c:pt>
                <c:pt idx="4">
                  <c:v>422</c:v>
                </c:pt>
                <c:pt idx="5">
                  <c:v>349</c:v>
                </c:pt>
                <c:pt idx="6">
                  <c:v>410</c:v>
                </c:pt>
                <c:pt idx="7">
                  <c:v>475</c:v>
                </c:pt>
                <c:pt idx="8">
                  <c:v>486</c:v>
                </c:pt>
                <c:pt idx="9">
                  <c:v>413</c:v>
                </c:pt>
                <c:pt idx="10">
                  <c:v>448</c:v>
                </c:pt>
                <c:pt idx="11">
                  <c:v>351</c:v>
                </c:pt>
                <c:pt idx="12">
                  <c:v>533</c:v>
                </c:pt>
                <c:pt idx="13">
                  <c:v>468</c:v>
                </c:pt>
                <c:pt idx="14">
                  <c:v>427</c:v>
                </c:pt>
              </c:numCache>
            </c:numRef>
          </c:val>
          <c:extLst>
            <c:ext xmlns:c16="http://schemas.microsoft.com/office/drawing/2014/chart" uri="{C3380CC4-5D6E-409C-BE32-E72D297353CC}">
              <c16:uniqueId val="{00000000-7047-4BD3-94CF-0AF12FB31F65}"/>
            </c:ext>
          </c:extLst>
        </c:ser>
        <c:dLbls>
          <c:dLblPos val="inEnd"/>
          <c:showLegendKey val="0"/>
          <c:showVal val="1"/>
          <c:showCatName val="0"/>
          <c:showSerName val="0"/>
          <c:showPercent val="0"/>
          <c:showBubbleSize val="0"/>
        </c:dLbls>
        <c:gapWidth val="150"/>
        <c:overlap val="100"/>
        <c:axId val="1980604127"/>
        <c:axId val="261173072"/>
      </c:barChart>
      <c:catAx>
        <c:axId val="1980604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173072"/>
        <c:crosses val="autoZero"/>
        <c:auto val="1"/>
        <c:lblAlgn val="ctr"/>
        <c:lblOffset val="100"/>
        <c:noMultiLvlLbl val="0"/>
      </c:catAx>
      <c:valAx>
        <c:axId val="261173072"/>
        <c:scaling>
          <c:orientation val="minMax"/>
        </c:scaling>
        <c:delete val="0"/>
        <c:axPos val="b"/>
        <c:majorGridlines>
          <c:spPr>
            <a:ln w="9525" cap="flat" cmpd="sng" algn="ctr">
              <a:solidFill>
                <a:schemeClr val="tx1">
                  <a:lumMod val="15000"/>
                  <a:lumOff val="85000"/>
                </a:schemeClr>
              </a:solidFill>
              <a:round/>
            </a:ln>
            <a:effectLst/>
          </c:spPr>
        </c:majorGridlines>
        <c:numFmt formatCode="[&gt;=1000000]&quot;₹&quot;0.0,,&quot;M&quot;;[&gt;=1000]&quot;₹&quot;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604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2" Type="http://schemas.openxmlformats.org/officeDocument/2006/relationships/hyperlink" Target="#'Sales Data (2)'!A1"/><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4.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3.xml"/><Relationship Id="rId2" Type="http://schemas.openxmlformats.org/officeDocument/2006/relationships/image" Target="../media/image1.png"/><Relationship Id="rId1" Type="http://schemas.openxmlformats.org/officeDocument/2006/relationships/hyperlink" Target="#Pivot!A1"/><Relationship Id="rId6" Type="http://schemas.openxmlformats.org/officeDocument/2006/relationships/image" Target="../media/image5.png"/><Relationship Id="rId11" Type="http://schemas.openxmlformats.org/officeDocument/2006/relationships/chart" Target="../charts/chart2.xml"/><Relationship Id="rId5" Type="http://schemas.openxmlformats.org/officeDocument/2006/relationships/image" Target="../media/image4.svg"/><Relationship Id="rId10" Type="http://schemas.openxmlformats.org/officeDocument/2006/relationships/chart" Target="../charts/chart1.xml"/><Relationship Id="rId4" Type="http://schemas.openxmlformats.org/officeDocument/2006/relationships/image" Target="../media/image3.png"/><Relationship Id="rId9"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8</xdr:col>
      <xdr:colOff>373380</xdr:colOff>
      <xdr:row>0</xdr:row>
      <xdr:rowOff>60960</xdr:rowOff>
    </xdr:from>
    <xdr:to>
      <xdr:col>9</xdr:col>
      <xdr:colOff>419100</xdr:colOff>
      <xdr:row>2</xdr:row>
      <xdr:rowOff>45720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99C45BAD-D99D-38D0-E057-34B778038B66}"/>
            </a:ext>
          </a:extLst>
        </xdr:cNvPr>
        <xdr:cNvSpPr/>
      </xdr:nvSpPr>
      <xdr:spPr>
        <a:xfrm>
          <a:off x="7825740" y="60960"/>
          <a:ext cx="655320" cy="350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Back</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0</xdr:row>
      <xdr:rowOff>7620</xdr:rowOff>
    </xdr:from>
    <xdr:to>
      <xdr:col>1</xdr:col>
      <xdr:colOff>373380</xdr:colOff>
      <xdr:row>1</xdr:row>
      <xdr:rowOff>152400</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0D579B66-33DC-0136-94AB-99BC21AB5957}"/>
            </a:ext>
          </a:extLst>
        </xdr:cNvPr>
        <xdr:cNvSpPr/>
      </xdr:nvSpPr>
      <xdr:spPr>
        <a:xfrm>
          <a:off x="15240" y="7620"/>
          <a:ext cx="1211580" cy="3276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Dashboard </a:t>
          </a:r>
        </a:p>
      </xdr:txBody>
    </xdr:sp>
    <xdr:clientData/>
  </xdr:twoCellAnchor>
  <xdr:twoCellAnchor>
    <xdr:from>
      <xdr:col>1</xdr:col>
      <xdr:colOff>419100</xdr:colOff>
      <xdr:row>0</xdr:row>
      <xdr:rowOff>7620</xdr:rowOff>
    </xdr:from>
    <xdr:to>
      <xdr:col>2</xdr:col>
      <xdr:colOff>464820</xdr:colOff>
      <xdr:row>1</xdr:row>
      <xdr:rowOff>167640</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EF706DAB-15D2-96C7-F6D0-B6931CD3C272}"/>
            </a:ext>
          </a:extLst>
        </xdr:cNvPr>
        <xdr:cNvSpPr/>
      </xdr:nvSpPr>
      <xdr:spPr>
        <a:xfrm>
          <a:off x="1272540" y="7620"/>
          <a:ext cx="1150620" cy="342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lt1"/>
              </a:solidFill>
              <a:effectLst/>
              <a:latin typeface="+mn-lt"/>
              <a:ea typeface="+mn-ea"/>
              <a:cs typeface="+mn-cs"/>
            </a:rPr>
            <a:t>Sales Data</a:t>
          </a:r>
          <a:endParaRPr lang="en-IN" sz="16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161807</xdr:colOff>
      <xdr:row>0</xdr:row>
      <xdr:rowOff>88697</xdr:rowOff>
    </xdr:from>
    <xdr:to>
      <xdr:col>17</xdr:col>
      <xdr:colOff>565788</xdr:colOff>
      <xdr:row>44</xdr:row>
      <xdr:rowOff>56443</xdr:rowOff>
    </xdr:to>
    <xdr:sp macro="" textlink="">
      <xdr:nvSpPr>
        <xdr:cNvPr id="4" name="Rectangle 3">
          <a:extLst>
            <a:ext uri="{FF2B5EF4-FFF2-40B4-BE49-F238E27FC236}">
              <a16:creationId xmlns:a16="http://schemas.microsoft.com/office/drawing/2014/main" id="{7AFFFA35-5380-2389-4B92-2A983A2EFEB2}"/>
            </a:ext>
          </a:extLst>
        </xdr:cNvPr>
        <xdr:cNvSpPr/>
      </xdr:nvSpPr>
      <xdr:spPr>
        <a:xfrm>
          <a:off x="161807" y="88697"/>
          <a:ext cx="17412574" cy="7832339"/>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702091</xdr:colOff>
      <xdr:row>5</xdr:row>
      <xdr:rowOff>39674</xdr:rowOff>
    </xdr:from>
    <xdr:to>
      <xdr:col>9</xdr:col>
      <xdr:colOff>697206</xdr:colOff>
      <xdr:row>10</xdr:row>
      <xdr:rowOff>169569</xdr:rowOff>
    </xdr:to>
    <xdr:sp macro="" textlink="">
      <xdr:nvSpPr>
        <xdr:cNvPr id="22" name="Rectangle: Rounded Corners 21">
          <a:extLst>
            <a:ext uri="{FF2B5EF4-FFF2-40B4-BE49-F238E27FC236}">
              <a16:creationId xmlns:a16="http://schemas.microsoft.com/office/drawing/2014/main" id="{B3C7786E-420F-4173-BD3C-D07B21CDFD31}"/>
            </a:ext>
          </a:extLst>
        </xdr:cNvPr>
        <xdr:cNvSpPr/>
      </xdr:nvSpPr>
      <xdr:spPr>
        <a:xfrm>
          <a:off x="6017276" y="933378"/>
          <a:ext cx="3184226" cy="1023598"/>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254000</xdr:colOff>
      <xdr:row>0</xdr:row>
      <xdr:rowOff>150518</xdr:rowOff>
    </xdr:from>
    <xdr:to>
      <xdr:col>5</xdr:col>
      <xdr:colOff>1044221</xdr:colOff>
      <xdr:row>4</xdr:row>
      <xdr:rowOff>94074</xdr:rowOff>
    </xdr:to>
    <xdr:sp macro="" textlink="">
      <xdr:nvSpPr>
        <xdr:cNvPr id="2" name="Rectangle: Rounded Corners 1">
          <a:extLst>
            <a:ext uri="{FF2B5EF4-FFF2-40B4-BE49-F238E27FC236}">
              <a16:creationId xmlns:a16="http://schemas.microsoft.com/office/drawing/2014/main" id="{8CD4F3D4-82FE-DABF-4C34-C1CC6039C776}"/>
            </a:ext>
          </a:extLst>
        </xdr:cNvPr>
        <xdr:cNvSpPr/>
      </xdr:nvSpPr>
      <xdr:spPr>
        <a:xfrm>
          <a:off x="254000" y="150518"/>
          <a:ext cx="5004740" cy="658519"/>
        </a:xfrm>
        <a:prstGeom prst="roundRect">
          <a:avLst/>
        </a:prstGeom>
        <a:solidFill>
          <a:srgbClr val="AFF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499807</xdr:colOff>
      <xdr:row>0</xdr:row>
      <xdr:rowOff>150519</xdr:rowOff>
    </xdr:from>
    <xdr:to>
      <xdr:col>6</xdr:col>
      <xdr:colOff>188148</xdr:colOff>
      <xdr:row>4</xdr:row>
      <xdr:rowOff>56444</xdr:rowOff>
    </xdr:to>
    <xdr:sp macro="" textlink="">
      <xdr:nvSpPr>
        <xdr:cNvPr id="3" name="TextBox 2">
          <a:extLst>
            <a:ext uri="{FF2B5EF4-FFF2-40B4-BE49-F238E27FC236}">
              <a16:creationId xmlns:a16="http://schemas.microsoft.com/office/drawing/2014/main" id="{3473D50E-C521-F4B2-9B6A-D743585885AE}"/>
            </a:ext>
          </a:extLst>
        </xdr:cNvPr>
        <xdr:cNvSpPr txBox="1"/>
      </xdr:nvSpPr>
      <xdr:spPr>
        <a:xfrm>
          <a:off x="499807" y="150519"/>
          <a:ext cx="5003526" cy="620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a:t>SALES DASHBOARD</a:t>
          </a:r>
        </a:p>
      </xdr:txBody>
    </xdr:sp>
    <xdr:clientData/>
  </xdr:twoCellAnchor>
  <xdr:twoCellAnchor editAs="oneCell">
    <xdr:from>
      <xdr:col>0</xdr:col>
      <xdr:colOff>471442</xdr:colOff>
      <xdr:row>1</xdr:row>
      <xdr:rowOff>28222</xdr:rowOff>
    </xdr:from>
    <xdr:to>
      <xdr:col>1</xdr:col>
      <xdr:colOff>220923</xdr:colOff>
      <xdr:row>4</xdr:row>
      <xdr:rowOff>75956</xdr:rowOff>
    </xdr:to>
    <xdr:pic>
      <xdr:nvPicPr>
        <xdr:cNvPr id="6" name="Graphic 5" descr="Venn diagram with solid fill">
          <a:hlinkClick xmlns:r="http://schemas.openxmlformats.org/officeDocument/2006/relationships" r:id="rId1"/>
          <a:extLst>
            <a:ext uri="{FF2B5EF4-FFF2-40B4-BE49-F238E27FC236}">
              <a16:creationId xmlns:a16="http://schemas.microsoft.com/office/drawing/2014/main" id="{C4254FA3-4436-067A-57AE-782EB1E3BC2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71442" y="206963"/>
          <a:ext cx="605555" cy="583956"/>
        </a:xfrm>
        <a:prstGeom prst="rect">
          <a:avLst/>
        </a:prstGeom>
      </xdr:spPr>
    </xdr:pic>
    <xdr:clientData/>
  </xdr:twoCellAnchor>
  <xdr:twoCellAnchor editAs="oneCell">
    <xdr:from>
      <xdr:col>0</xdr:col>
      <xdr:colOff>277189</xdr:colOff>
      <xdr:row>5</xdr:row>
      <xdr:rowOff>43938</xdr:rowOff>
    </xdr:from>
    <xdr:to>
      <xdr:col>2</xdr:col>
      <xdr:colOff>303464</xdr:colOff>
      <xdr:row>43</xdr:row>
      <xdr:rowOff>84667</xdr:rowOff>
    </xdr:to>
    <mc:AlternateContent xmlns:mc="http://schemas.openxmlformats.org/markup-compatibility/2006" xmlns:a14="http://schemas.microsoft.com/office/drawing/2010/main">
      <mc:Choice Requires="a14">
        <xdr:graphicFrame macro="">
          <xdr:nvGraphicFramePr>
            <xdr:cNvPr id="7" name="Months (Date) 1">
              <a:extLst>
                <a:ext uri="{FF2B5EF4-FFF2-40B4-BE49-F238E27FC236}">
                  <a16:creationId xmlns:a16="http://schemas.microsoft.com/office/drawing/2014/main" id="{65CC615B-250F-40A2-92A6-DBCABBE96B29}"/>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277189" y="937642"/>
              <a:ext cx="1983016" cy="68328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576385</xdr:colOff>
      <xdr:row>5</xdr:row>
      <xdr:rowOff>48846</xdr:rowOff>
    </xdr:from>
    <xdr:to>
      <xdr:col>6</xdr:col>
      <xdr:colOff>409575</xdr:colOff>
      <xdr:row>11</xdr:row>
      <xdr:rowOff>0</xdr:rowOff>
    </xdr:to>
    <xdr:sp macro="" textlink="">
      <xdr:nvSpPr>
        <xdr:cNvPr id="8" name="Rectangle: Rounded Corners 7">
          <a:extLst>
            <a:ext uri="{FF2B5EF4-FFF2-40B4-BE49-F238E27FC236}">
              <a16:creationId xmlns:a16="http://schemas.microsoft.com/office/drawing/2014/main" id="{1494E0BB-4348-3D58-A131-57722A54DF84}"/>
            </a:ext>
          </a:extLst>
        </xdr:cNvPr>
        <xdr:cNvSpPr/>
      </xdr:nvSpPr>
      <xdr:spPr>
        <a:xfrm>
          <a:off x="2538535" y="953721"/>
          <a:ext cx="3195515" cy="1037004"/>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38100</xdr:colOff>
      <xdr:row>5</xdr:row>
      <xdr:rowOff>28575</xdr:rowOff>
    </xdr:from>
    <xdr:to>
      <xdr:col>6</xdr:col>
      <xdr:colOff>200024</xdr:colOff>
      <xdr:row>7</xdr:row>
      <xdr:rowOff>171450</xdr:rowOff>
    </xdr:to>
    <xdr:sp macro="" textlink="">
      <xdr:nvSpPr>
        <xdr:cNvPr id="10" name="TextBox 9">
          <a:extLst>
            <a:ext uri="{FF2B5EF4-FFF2-40B4-BE49-F238E27FC236}">
              <a16:creationId xmlns:a16="http://schemas.microsoft.com/office/drawing/2014/main" id="{D2F2727A-7227-0F28-1E43-FB2B9BEFF3C1}"/>
            </a:ext>
          </a:extLst>
        </xdr:cNvPr>
        <xdr:cNvSpPr txBox="1"/>
      </xdr:nvSpPr>
      <xdr:spPr>
        <a:xfrm>
          <a:off x="3400425" y="933450"/>
          <a:ext cx="2124074"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i="0" u="none" strike="noStrike">
              <a:solidFill>
                <a:schemeClr val="dk1"/>
              </a:solidFill>
              <a:effectLst/>
              <a:latin typeface="+mn-lt"/>
              <a:ea typeface="+mn-ea"/>
              <a:cs typeface="+mn-cs"/>
            </a:rPr>
            <a:t>Total Sales</a:t>
          </a:r>
          <a:r>
            <a:rPr lang="en-IN" sz="3200" b="1">
              <a:effectLst/>
            </a:rPr>
            <a:t> </a:t>
          </a:r>
          <a:endParaRPr lang="en-IN" sz="3200" b="1"/>
        </a:p>
      </xdr:txBody>
    </xdr:sp>
    <xdr:clientData/>
  </xdr:twoCellAnchor>
  <xdr:twoCellAnchor>
    <xdr:from>
      <xdr:col>4</xdr:col>
      <xdr:colOff>228298</xdr:colOff>
      <xdr:row>7</xdr:row>
      <xdr:rowOff>157238</xdr:rowOff>
    </xdr:from>
    <xdr:to>
      <xdr:col>6</xdr:col>
      <xdr:colOff>304498</xdr:colOff>
      <xdr:row>10</xdr:row>
      <xdr:rowOff>96006</xdr:rowOff>
    </xdr:to>
    <xdr:sp macro="" textlink="Pivot!B20">
      <xdr:nvSpPr>
        <xdr:cNvPr id="17" name="TextBox 16">
          <a:extLst>
            <a:ext uri="{FF2B5EF4-FFF2-40B4-BE49-F238E27FC236}">
              <a16:creationId xmlns:a16="http://schemas.microsoft.com/office/drawing/2014/main" id="{4868F0A0-3E5A-648F-FA46-DD33AC8CBD27}"/>
            </a:ext>
          </a:extLst>
        </xdr:cNvPr>
        <xdr:cNvSpPr txBox="1"/>
      </xdr:nvSpPr>
      <xdr:spPr>
        <a:xfrm>
          <a:off x="3590774" y="1427238"/>
          <a:ext cx="2035629" cy="483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39E170-DA4B-49C9-AE24-5BDECCBE1981}" type="TxLink">
            <a:rPr lang="en-US" sz="2800" b="1" i="0" u="none" strike="noStrike">
              <a:solidFill>
                <a:schemeClr val="tx2">
                  <a:lumMod val="50000"/>
                  <a:lumOff val="50000"/>
                </a:schemeClr>
              </a:solidFill>
              <a:latin typeface="Aptos Narrow"/>
            </a:rPr>
            <a:pPr/>
            <a:t>₹54.1M</a:t>
          </a:fld>
          <a:endParaRPr lang="en-US" sz="2800" b="1">
            <a:solidFill>
              <a:schemeClr val="tx2">
                <a:lumMod val="50000"/>
                <a:lumOff val="50000"/>
              </a:schemeClr>
            </a:solidFill>
          </a:endParaRPr>
        </a:p>
      </xdr:txBody>
    </xdr:sp>
    <xdr:clientData/>
  </xdr:twoCellAnchor>
  <xdr:twoCellAnchor>
    <xdr:from>
      <xdr:col>7</xdr:col>
      <xdr:colOff>573852</xdr:colOff>
      <xdr:row>5</xdr:row>
      <xdr:rowOff>10113</xdr:rowOff>
    </xdr:from>
    <xdr:to>
      <xdr:col>9</xdr:col>
      <xdr:colOff>935802</xdr:colOff>
      <xdr:row>8</xdr:row>
      <xdr:rowOff>29164</xdr:rowOff>
    </xdr:to>
    <xdr:sp macro="" textlink="">
      <xdr:nvSpPr>
        <xdr:cNvPr id="18" name="TextBox 17">
          <a:extLst>
            <a:ext uri="{FF2B5EF4-FFF2-40B4-BE49-F238E27FC236}">
              <a16:creationId xmlns:a16="http://schemas.microsoft.com/office/drawing/2014/main" id="{F9413E5B-4A6B-79F6-8371-85E1C65BDFB3}"/>
            </a:ext>
          </a:extLst>
        </xdr:cNvPr>
        <xdr:cNvSpPr txBox="1"/>
      </xdr:nvSpPr>
      <xdr:spPr>
        <a:xfrm>
          <a:off x="6952074" y="903817"/>
          <a:ext cx="2488024" cy="555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i="0" u="none" strike="noStrike">
              <a:solidFill>
                <a:schemeClr val="dk1"/>
              </a:solidFill>
              <a:effectLst/>
              <a:latin typeface="+mn-lt"/>
              <a:ea typeface="+mn-ea"/>
              <a:cs typeface="+mn-cs"/>
            </a:rPr>
            <a:t>Total</a:t>
          </a:r>
          <a:r>
            <a:rPr lang="en-IN" sz="3200" b="1" i="0" u="none" strike="noStrike" baseline="0">
              <a:solidFill>
                <a:schemeClr val="dk1"/>
              </a:solidFill>
              <a:effectLst/>
              <a:latin typeface="+mn-lt"/>
              <a:ea typeface="+mn-ea"/>
              <a:cs typeface="+mn-cs"/>
            </a:rPr>
            <a:t> </a:t>
          </a:r>
          <a:r>
            <a:rPr lang="en-IN" sz="3200" b="1" i="0" u="none" strike="noStrike">
              <a:solidFill>
                <a:schemeClr val="dk1"/>
              </a:solidFill>
              <a:effectLst/>
              <a:latin typeface="+mn-lt"/>
              <a:ea typeface="+mn-ea"/>
              <a:cs typeface="+mn-cs"/>
            </a:rPr>
            <a:t>Profit</a:t>
          </a:r>
          <a:r>
            <a:rPr lang="en-IN" sz="3200" b="1">
              <a:effectLst/>
            </a:rPr>
            <a:t> </a:t>
          </a:r>
          <a:endParaRPr lang="en-IN" sz="3200" b="1"/>
        </a:p>
      </xdr:txBody>
    </xdr:sp>
    <xdr:clientData/>
  </xdr:twoCellAnchor>
  <xdr:twoCellAnchor>
    <xdr:from>
      <xdr:col>7</xdr:col>
      <xdr:colOff>1001217</xdr:colOff>
      <xdr:row>7</xdr:row>
      <xdr:rowOff>151342</xdr:rowOff>
    </xdr:from>
    <xdr:to>
      <xdr:col>10</xdr:col>
      <xdr:colOff>193524</xdr:colOff>
      <xdr:row>11</xdr:row>
      <xdr:rowOff>0</xdr:rowOff>
    </xdr:to>
    <xdr:sp macro="" textlink="Pivot!B21">
      <xdr:nvSpPr>
        <xdr:cNvPr id="19" name="TextBox 18">
          <a:extLst>
            <a:ext uri="{FF2B5EF4-FFF2-40B4-BE49-F238E27FC236}">
              <a16:creationId xmlns:a16="http://schemas.microsoft.com/office/drawing/2014/main" id="{C8315654-CD6E-1EBA-E6A9-478FD319E200}"/>
            </a:ext>
          </a:extLst>
        </xdr:cNvPr>
        <xdr:cNvSpPr txBox="1"/>
      </xdr:nvSpPr>
      <xdr:spPr>
        <a:xfrm>
          <a:off x="7387503" y="1421342"/>
          <a:ext cx="2385450" cy="574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680805-A27B-4543-A169-20763EAAF4AF}" type="TxLink">
            <a:rPr lang="en-US" sz="2800" b="1" i="0" u="none" strike="noStrike">
              <a:solidFill>
                <a:schemeClr val="tx2">
                  <a:lumMod val="50000"/>
                  <a:lumOff val="50000"/>
                </a:schemeClr>
              </a:solidFill>
              <a:latin typeface="Aptos Narrow"/>
            </a:rPr>
            <a:pPr/>
            <a:t>₹9.1M</a:t>
          </a:fld>
          <a:endParaRPr lang="en-IN" sz="2800" b="1">
            <a:solidFill>
              <a:schemeClr val="tx2">
                <a:lumMod val="50000"/>
                <a:lumOff val="50000"/>
              </a:schemeClr>
            </a:solidFill>
          </a:endParaRPr>
        </a:p>
      </xdr:txBody>
    </xdr:sp>
    <xdr:clientData/>
  </xdr:twoCellAnchor>
  <xdr:twoCellAnchor>
    <xdr:from>
      <xdr:col>9</xdr:col>
      <xdr:colOff>1015123</xdr:colOff>
      <xdr:row>5</xdr:row>
      <xdr:rowOff>30149</xdr:rowOff>
    </xdr:from>
    <xdr:to>
      <xdr:col>12</xdr:col>
      <xdr:colOff>1010238</xdr:colOff>
      <xdr:row>10</xdr:row>
      <xdr:rowOff>160044</xdr:rowOff>
    </xdr:to>
    <xdr:sp macro="" textlink="">
      <xdr:nvSpPr>
        <xdr:cNvPr id="21" name="Rectangle: Rounded Corners 20">
          <a:extLst>
            <a:ext uri="{FF2B5EF4-FFF2-40B4-BE49-F238E27FC236}">
              <a16:creationId xmlns:a16="http://schemas.microsoft.com/office/drawing/2014/main" id="{C410BE55-3493-4CA7-83B0-CD6BA902B159}"/>
            </a:ext>
          </a:extLst>
        </xdr:cNvPr>
        <xdr:cNvSpPr/>
      </xdr:nvSpPr>
      <xdr:spPr>
        <a:xfrm>
          <a:off x="9519419" y="923853"/>
          <a:ext cx="3184226" cy="1023598"/>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619594</xdr:colOff>
      <xdr:row>5</xdr:row>
      <xdr:rowOff>28222</xdr:rowOff>
    </xdr:from>
    <xdr:to>
      <xdr:col>13</xdr:col>
      <xdr:colOff>469</xdr:colOff>
      <xdr:row>8</xdr:row>
      <xdr:rowOff>114535</xdr:rowOff>
    </xdr:to>
    <xdr:sp macro="" textlink="">
      <xdr:nvSpPr>
        <xdr:cNvPr id="23" name="TextBox 22">
          <a:extLst>
            <a:ext uri="{FF2B5EF4-FFF2-40B4-BE49-F238E27FC236}">
              <a16:creationId xmlns:a16="http://schemas.microsoft.com/office/drawing/2014/main" id="{93BB766A-42D7-0AC4-3A24-0B7EFA27B081}"/>
            </a:ext>
          </a:extLst>
        </xdr:cNvPr>
        <xdr:cNvSpPr txBox="1"/>
      </xdr:nvSpPr>
      <xdr:spPr>
        <a:xfrm>
          <a:off x="10186927" y="921926"/>
          <a:ext cx="2569986" cy="622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t>Total</a:t>
          </a:r>
          <a:r>
            <a:rPr lang="en-IN" sz="3200" b="1" baseline="0"/>
            <a:t> </a:t>
          </a:r>
          <a:r>
            <a:rPr lang="en-IN" sz="3200" b="1"/>
            <a:t>Quantity</a:t>
          </a:r>
        </a:p>
      </xdr:txBody>
    </xdr:sp>
    <xdr:clientData/>
  </xdr:twoCellAnchor>
  <xdr:twoCellAnchor>
    <xdr:from>
      <xdr:col>11</xdr:col>
      <xdr:colOff>386762</xdr:colOff>
      <xdr:row>7</xdr:row>
      <xdr:rowOff>132528</xdr:rowOff>
    </xdr:from>
    <xdr:to>
      <xdr:col>13</xdr:col>
      <xdr:colOff>405812</xdr:colOff>
      <xdr:row>9</xdr:row>
      <xdr:rowOff>159927</xdr:rowOff>
    </xdr:to>
    <xdr:sp macro="" textlink="Pivot!B22">
      <xdr:nvSpPr>
        <xdr:cNvPr id="25" name="TextBox 24">
          <a:extLst>
            <a:ext uri="{FF2B5EF4-FFF2-40B4-BE49-F238E27FC236}">
              <a16:creationId xmlns:a16="http://schemas.microsoft.com/office/drawing/2014/main" id="{5D02FCDE-940A-DDE2-9A5D-73D207074CA0}"/>
            </a:ext>
          </a:extLst>
        </xdr:cNvPr>
        <xdr:cNvSpPr txBox="1"/>
      </xdr:nvSpPr>
      <xdr:spPr>
        <a:xfrm>
          <a:off x="11030572" y="1402528"/>
          <a:ext cx="2147811" cy="390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439239-2BEE-4E4A-884B-A7A4B1B1527E}" type="TxLink">
            <a:rPr lang="en-US" sz="2800" b="1" i="0" u="none" strike="noStrike">
              <a:solidFill>
                <a:schemeClr val="tx2">
                  <a:lumMod val="50000"/>
                  <a:lumOff val="50000"/>
                </a:schemeClr>
              </a:solidFill>
              <a:latin typeface="Aptos Narrow"/>
            </a:rPr>
            <a:pPr/>
            <a:t>6.6K</a:t>
          </a:fld>
          <a:endParaRPr lang="en-IN" sz="2800" b="1">
            <a:solidFill>
              <a:schemeClr val="tx2">
                <a:lumMod val="50000"/>
                <a:lumOff val="50000"/>
              </a:schemeClr>
            </a:solidFill>
          </a:endParaRPr>
        </a:p>
      </xdr:txBody>
    </xdr:sp>
    <xdr:clientData/>
  </xdr:twoCellAnchor>
  <xdr:twoCellAnchor editAs="oneCell">
    <xdr:from>
      <xdr:col>2</xdr:col>
      <xdr:colOff>647700</xdr:colOff>
      <xdr:row>6</xdr:row>
      <xdr:rowOff>0</xdr:rowOff>
    </xdr:from>
    <xdr:to>
      <xdr:col>4</xdr:col>
      <xdr:colOff>95250</xdr:colOff>
      <xdr:row>10</xdr:row>
      <xdr:rowOff>114300</xdr:rowOff>
    </xdr:to>
    <xdr:pic>
      <xdr:nvPicPr>
        <xdr:cNvPr id="29" name="Graphic 28" descr="Business Growth with solid fill">
          <a:extLst>
            <a:ext uri="{FF2B5EF4-FFF2-40B4-BE49-F238E27FC236}">
              <a16:creationId xmlns:a16="http://schemas.microsoft.com/office/drawing/2014/main" id="{B5751E71-4CE6-7693-5D41-760F007DA72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609850" y="1085850"/>
          <a:ext cx="847725" cy="838200"/>
        </a:xfrm>
        <a:prstGeom prst="rect">
          <a:avLst/>
        </a:prstGeom>
      </xdr:spPr>
    </xdr:pic>
    <xdr:clientData/>
  </xdr:twoCellAnchor>
  <xdr:twoCellAnchor editAs="oneCell">
    <xdr:from>
      <xdr:col>6</xdr:col>
      <xdr:colOff>830322</xdr:colOff>
      <xdr:row>5</xdr:row>
      <xdr:rowOff>95603</xdr:rowOff>
    </xdr:from>
    <xdr:to>
      <xdr:col>7</xdr:col>
      <xdr:colOff>677922</xdr:colOff>
      <xdr:row>10</xdr:row>
      <xdr:rowOff>105128</xdr:rowOff>
    </xdr:to>
    <xdr:pic>
      <xdr:nvPicPr>
        <xdr:cNvPr id="31" name="Graphic 30" descr="Bank with solid fill">
          <a:extLst>
            <a:ext uri="{FF2B5EF4-FFF2-40B4-BE49-F238E27FC236}">
              <a16:creationId xmlns:a16="http://schemas.microsoft.com/office/drawing/2014/main" id="{96EF3056-E1DD-7A5F-7FA2-BB11A88A7D0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45507" y="989307"/>
          <a:ext cx="910637" cy="903228"/>
        </a:xfrm>
        <a:prstGeom prst="rect">
          <a:avLst/>
        </a:prstGeom>
      </xdr:spPr>
    </xdr:pic>
    <xdr:clientData/>
  </xdr:twoCellAnchor>
  <xdr:twoCellAnchor editAs="oneCell">
    <xdr:from>
      <xdr:col>9</xdr:col>
      <xdr:colOff>1025408</xdr:colOff>
      <xdr:row>6</xdr:row>
      <xdr:rowOff>19755</xdr:rowOff>
    </xdr:from>
    <xdr:to>
      <xdr:col>10</xdr:col>
      <xdr:colOff>762471</xdr:colOff>
      <xdr:row>10</xdr:row>
      <xdr:rowOff>48330</xdr:rowOff>
    </xdr:to>
    <xdr:pic>
      <xdr:nvPicPr>
        <xdr:cNvPr id="33" name="Graphic 32" descr="Shopping cart with solid fill">
          <a:extLst>
            <a:ext uri="{FF2B5EF4-FFF2-40B4-BE49-F238E27FC236}">
              <a16:creationId xmlns:a16="http://schemas.microsoft.com/office/drawing/2014/main" id="{E738635B-2A74-CFC6-B5F4-6E551830EAA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529704" y="1092199"/>
          <a:ext cx="800100" cy="743538"/>
        </a:xfrm>
        <a:prstGeom prst="rect">
          <a:avLst/>
        </a:prstGeom>
      </xdr:spPr>
    </xdr:pic>
    <xdr:clientData/>
  </xdr:twoCellAnchor>
  <xdr:twoCellAnchor editAs="oneCell">
    <xdr:from>
      <xdr:col>6</xdr:col>
      <xdr:colOff>462197</xdr:colOff>
      <xdr:row>0</xdr:row>
      <xdr:rowOff>137410</xdr:rowOff>
    </xdr:from>
    <xdr:to>
      <xdr:col>17</xdr:col>
      <xdr:colOff>404518</xdr:colOff>
      <xdr:row>4</xdr:row>
      <xdr:rowOff>124918</xdr:rowOff>
    </xdr:to>
    <mc:AlternateContent xmlns:mc="http://schemas.openxmlformats.org/markup-compatibility/2006">
      <mc:Choice xmlns:a14="http://schemas.microsoft.com/office/drawing/2010/main" Requires="a14">
        <xdr:graphicFrame macro="">
          <xdr:nvGraphicFramePr>
            <xdr:cNvPr id="34" name="Region 1">
              <a:extLst>
                <a:ext uri="{FF2B5EF4-FFF2-40B4-BE49-F238E27FC236}">
                  <a16:creationId xmlns:a16="http://schemas.microsoft.com/office/drawing/2014/main" id="{4D0AD7F2-6952-4787-A4CA-0D358D5235A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776906" y="137410"/>
              <a:ext cx="11719561" cy="7205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84667</xdr:colOff>
      <xdr:row>5</xdr:row>
      <xdr:rowOff>9407</xdr:rowOff>
    </xdr:from>
    <xdr:to>
      <xdr:col>17</xdr:col>
      <xdr:colOff>413926</xdr:colOff>
      <xdr:row>43</xdr:row>
      <xdr:rowOff>65851</xdr:rowOff>
    </xdr:to>
    <xdr:graphicFrame macro="">
      <xdr:nvGraphicFramePr>
        <xdr:cNvPr id="35" name="Chart 34">
          <a:extLst>
            <a:ext uri="{FF2B5EF4-FFF2-40B4-BE49-F238E27FC236}">
              <a16:creationId xmlns:a16="http://schemas.microsoft.com/office/drawing/2014/main" id="{390CA180-C8D4-410C-86DE-C11966547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188685</xdr:colOff>
      <xdr:row>12</xdr:row>
      <xdr:rowOff>36284</xdr:rowOff>
    </xdr:from>
    <xdr:to>
      <xdr:col>13</xdr:col>
      <xdr:colOff>1</xdr:colOff>
      <xdr:row>27</xdr:row>
      <xdr:rowOff>58056</xdr:rowOff>
    </xdr:to>
    <xdr:graphicFrame macro="">
      <xdr:nvGraphicFramePr>
        <xdr:cNvPr id="36" name="Chart 35">
          <a:extLst>
            <a:ext uri="{FF2B5EF4-FFF2-40B4-BE49-F238E27FC236}">
              <a16:creationId xmlns:a16="http://schemas.microsoft.com/office/drawing/2014/main" id="{A3B7311C-800C-445D-980E-06BCD8B30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181428</xdr:colOff>
      <xdr:row>27</xdr:row>
      <xdr:rowOff>108858</xdr:rowOff>
    </xdr:from>
    <xdr:to>
      <xdr:col>13</xdr:col>
      <xdr:colOff>0</xdr:colOff>
      <xdr:row>43</xdr:row>
      <xdr:rowOff>60476</xdr:rowOff>
    </xdr:to>
    <xdr:graphicFrame macro="">
      <xdr:nvGraphicFramePr>
        <xdr:cNvPr id="38" name="Chart 37">
          <a:extLst>
            <a:ext uri="{FF2B5EF4-FFF2-40B4-BE49-F238E27FC236}">
              <a16:creationId xmlns:a16="http://schemas.microsoft.com/office/drawing/2014/main" id="{173F5F18-E5D9-4769-A0BA-FF5D3BAA81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532190</xdr:colOff>
      <xdr:row>12</xdr:row>
      <xdr:rowOff>36286</xdr:rowOff>
    </xdr:from>
    <xdr:to>
      <xdr:col>8</xdr:col>
      <xdr:colOff>344753</xdr:colOff>
      <xdr:row>43</xdr:row>
      <xdr:rowOff>72571</xdr:rowOff>
    </xdr:to>
    <xdr:graphicFrame macro="">
      <xdr:nvGraphicFramePr>
        <xdr:cNvPr id="39" name="Chart 38">
          <a:extLst>
            <a:ext uri="{FF2B5EF4-FFF2-40B4-BE49-F238E27FC236}">
              <a16:creationId xmlns:a16="http://schemas.microsoft.com/office/drawing/2014/main" id="{A319060B-1B63-4C63-91A2-F0E32FCE68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0.18353</cdr:x>
      <cdr:y>0.04237</cdr:y>
    </cdr:from>
    <cdr:to>
      <cdr:x>0.80471</cdr:x>
      <cdr:y>0.19492</cdr:y>
    </cdr:to>
    <cdr:sp macro="" textlink="">
      <cdr:nvSpPr>
        <cdr:cNvPr id="2" name="TextBox 1">
          <a:extLst xmlns:a="http://schemas.openxmlformats.org/drawingml/2006/main">
            <a:ext uri="{FF2B5EF4-FFF2-40B4-BE49-F238E27FC236}">
              <a16:creationId xmlns:a16="http://schemas.microsoft.com/office/drawing/2014/main" id="{4BBF11F6-DDDB-9818-190F-5698C49ED8A6}"/>
            </a:ext>
          </a:extLst>
        </cdr:cNvPr>
        <cdr:cNvSpPr txBox="1"/>
      </cdr:nvSpPr>
      <cdr:spPr>
        <a:xfrm xmlns:a="http://schemas.openxmlformats.org/drawingml/2006/main">
          <a:off x="943429" y="120952"/>
          <a:ext cx="3193143" cy="4354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ayan" refreshedDate="46289.418401041665" createdVersion="8" refreshedVersion="8" minRefreshableVersion="3" recordCount="1000" xr:uid="{1BD09952-26D0-4851-B3E8-C20319164911}">
  <cacheSource type="worksheet">
    <worksheetSource name="Sales_Data__2"/>
  </cacheSource>
  <cacheFields count="10">
    <cacheField name="Date" numFmtId="14">
      <sharedItems containsSemiMixedTypes="0" containsNonDate="0" containsDate="1" containsString="0" minDate="2025-01-01T00:00:00" maxDate="2026-01-01T00:00:00" count="347">
        <d v="2025-11-24T00:00:00"/>
        <d v="2025-02-22T00:00:00"/>
        <d v="2025-01-16T00:00:00"/>
        <d v="2025-04-12T00:00:00"/>
        <d v="2025-10-29T00:00:00"/>
        <d v="2025-03-21T00:00:00"/>
        <d v="2025-06-26T00:00:00"/>
        <d v="2025-03-05T00:00:00"/>
        <d v="2025-07-05T00:00:00"/>
        <d v="2025-05-29T00:00:00"/>
        <d v="2025-07-06T00:00:00"/>
        <d v="2025-12-16T00:00:00"/>
        <d v="2025-05-06T00:00:00"/>
        <d v="2025-12-17T00:00:00"/>
        <d v="2025-05-18T00:00:00"/>
        <d v="2025-12-02T00:00:00"/>
        <d v="2025-05-07T00:00:00"/>
        <d v="2025-10-26T00:00:00"/>
        <d v="2025-09-10T00:00:00"/>
        <d v="2025-12-15T00:00:00"/>
        <d v="2025-09-28T00:00:00"/>
        <d v="2025-10-02T00:00:00"/>
        <d v="2025-08-21T00:00:00"/>
        <d v="2025-02-24T00:00:00"/>
        <d v="2025-01-01T00:00:00"/>
        <d v="2025-06-07T00:00:00"/>
        <d v="2025-09-06T00:00:00"/>
        <d v="2025-09-01T00:00:00"/>
        <d v="2025-04-19T00:00:00"/>
        <d v="2025-11-29T00:00:00"/>
        <d v="2025-02-02T00:00:00"/>
        <d v="2025-12-29T00:00:00"/>
        <d v="2025-06-19T00:00:00"/>
        <d v="2025-10-04T00:00:00"/>
        <d v="2025-07-28T00:00:00"/>
        <d v="2025-07-30T00:00:00"/>
        <d v="2025-07-26T00:00:00"/>
        <d v="2025-04-08T00:00:00"/>
        <d v="2025-05-08T00:00:00"/>
        <d v="2025-01-26T00:00:00"/>
        <d v="2025-07-14T00:00:00"/>
        <d v="2025-08-05T00:00:00"/>
        <d v="2025-06-10T00:00:00"/>
        <d v="2025-01-30T00:00:00"/>
        <d v="2025-05-01T00:00:00"/>
        <d v="2025-11-14T00:00:00"/>
        <d v="2025-05-14T00:00:00"/>
        <d v="2025-03-09T00:00:00"/>
        <d v="2025-08-23T00:00:00"/>
        <d v="2025-05-16T00:00:00"/>
        <d v="2025-03-22T00:00:00"/>
        <d v="2025-12-08T00:00:00"/>
        <d v="2025-03-10T00:00:00"/>
        <d v="2025-05-25T00:00:00"/>
        <d v="2025-09-08T00:00:00"/>
        <d v="2025-01-02T00:00:00"/>
        <d v="2025-12-28T00:00:00"/>
        <d v="2025-01-19T00:00:00"/>
        <d v="2025-01-22T00:00:00"/>
        <d v="2025-07-31T00:00:00"/>
        <d v="2025-12-09T00:00:00"/>
        <d v="2025-01-20T00:00:00"/>
        <d v="2025-06-06T00:00:00"/>
        <d v="2025-06-18T00:00:00"/>
        <d v="2025-12-14T00:00:00"/>
        <d v="2025-07-17T00:00:00"/>
        <d v="2025-09-24T00:00:00"/>
        <d v="2025-06-08T00:00:00"/>
        <d v="2025-03-07T00:00:00"/>
        <d v="2025-10-19T00:00:00"/>
        <d v="2025-04-18T00:00:00"/>
        <d v="2025-08-15T00:00:00"/>
        <d v="2025-02-13T00:00:00"/>
        <d v="2025-01-24T00:00:00"/>
        <d v="2025-08-01T00:00:00"/>
        <d v="2025-07-24T00:00:00"/>
        <d v="2025-08-06T00:00:00"/>
        <d v="2025-09-29T00:00:00"/>
        <d v="2025-09-16T00:00:00"/>
        <d v="2025-05-13T00:00:00"/>
        <d v="2025-11-17T00:00:00"/>
        <d v="2025-05-20T00:00:00"/>
        <d v="2025-12-22T00:00:00"/>
        <d v="2025-10-05T00:00:00"/>
        <d v="2025-10-27T00:00:00"/>
        <d v="2025-09-02T00:00:00"/>
        <d v="2025-10-07T00:00:00"/>
        <d v="2025-03-26T00:00:00"/>
        <d v="2025-07-21T00:00:00"/>
        <d v="2025-08-25T00:00:00"/>
        <d v="2025-06-17T00:00:00"/>
        <d v="2025-02-11T00:00:00"/>
        <d v="2025-01-11T00:00:00"/>
        <d v="2025-04-22T00:00:00"/>
        <d v="2025-11-07T00:00:00"/>
        <d v="2025-02-25T00:00:00"/>
        <d v="2025-12-23T00:00:00"/>
        <d v="2025-11-28T00:00:00"/>
        <d v="2025-05-19T00:00:00"/>
        <d v="2025-10-31T00:00:00"/>
        <d v="2025-08-19T00:00:00"/>
        <d v="2025-01-15T00:00:00"/>
        <d v="2025-05-31T00:00:00"/>
        <d v="2025-08-31T00:00:00"/>
        <d v="2025-06-30T00:00:00"/>
        <d v="2025-04-09T00:00:00"/>
        <d v="2025-04-27T00:00:00"/>
        <d v="2025-05-21T00:00:00"/>
        <d v="2025-09-09T00:00:00"/>
        <d v="2025-06-24T00:00:00"/>
        <d v="2025-02-03T00:00:00"/>
        <d v="2025-03-18T00:00:00"/>
        <d v="2025-10-13T00:00:00"/>
        <d v="2025-11-09T00:00:00"/>
        <d v="2025-12-05T00:00:00"/>
        <d v="2025-04-29T00:00:00"/>
        <d v="2025-12-18T00:00:00"/>
        <d v="2025-05-17T00:00:00"/>
        <d v="2025-01-21T00:00:00"/>
        <d v="2025-04-28T00:00:00"/>
        <d v="2025-05-23T00:00:00"/>
        <d v="2025-08-29T00:00:00"/>
        <d v="2025-03-24T00:00:00"/>
        <d v="2025-10-09T00:00:00"/>
        <d v="2025-05-28T00:00:00"/>
        <d v="2025-05-03T00:00:00"/>
        <d v="2025-02-17T00:00:00"/>
        <d v="2025-05-30T00:00:00"/>
        <d v="2025-05-05T00:00:00"/>
        <d v="2025-03-11T00:00:00"/>
        <d v="2025-09-17T00:00:00"/>
        <d v="2025-12-04T00:00:00"/>
        <d v="2025-10-10T00:00:00"/>
        <d v="2025-04-07T00:00:00"/>
        <d v="2025-06-12T00:00:00"/>
        <d v="2025-12-06T00:00:00"/>
        <d v="2025-09-15T00:00:00"/>
        <d v="2025-09-27T00:00:00"/>
        <d v="2025-11-16T00:00:00"/>
        <d v="2025-12-12T00:00:00"/>
        <d v="2025-02-16T00:00:00"/>
        <d v="2025-03-27T00:00:00"/>
        <d v="2025-07-03T00:00:00"/>
        <d v="2025-07-15T00:00:00"/>
        <d v="2025-08-27T00:00:00"/>
        <d v="2025-10-28T00:00:00"/>
        <d v="2025-06-04T00:00:00"/>
        <d v="2025-10-20T00:00:00"/>
        <d v="2025-08-14T00:00:00"/>
        <d v="2025-06-01T00:00:00"/>
        <d v="2025-02-28T00:00:00"/>
        <d v="2025-12-13T00:00:00"/>
        <d v="2025-07-08T00:00:00"/>
        <d v="2025-11-23T00:00:00"/>
        <d v="2025-10-15T00:00:00"/>
        <d v="2025-12-25T00:00:00"/>
        <d v="2025-06-05T00:00:00"/>
        <d v="2025-07-18T00:00:00"/>
        <d v="2025-08-16T00:00:00"/>
        <d v="2025-11-27T00:00:00"/>
        <d v="2025-02-05T00:00:00"/>
        <d v="2025-03-17T00:00:00"/>
        <d v="2025-01-08T00:00:00"/>
        <d v="2025-03-06T00:00:00"/>
        <d v="2025-08-18T00:00:00"/>
        <d v="2025-04-24T00:00:00"/>
        <d v="2025-11-08T00:00:00"/>
        <d v="2025-12-31T00:00:00"/>
        <d v="2025-02-20T00:00:00"/>
        <d v="2025-04-21T00:00:00"/>
        <d v="2025-03-20T00:00:00"/>
        <d v="2025-08-10T00:00:00"/>
        <d v="2025-12-07T00:00:00"/>
        <d v="2025-04-26T00:00:00"/>
        <d v="2025-04-03T00:00:00"/>
        <d v="2025-11-21T00:00:00"/>
        <d v="2025-08-09T00:00:00"/>
        <d v="2025-01-04T00:00:00"/>
        <d v="2025-05-11T00:00:00"/>
        <d v="2025-03-08T00:00:00"/>
        <d v="2025-01-10T00:00:00"/>
        <d v="2025-12-30T00:00:00"/>
        <d v="2025-03-29T00:00:00"/>
        <d v="2025-08-12T00:00:00"/>
        <d v="2025-02-10T00:00:00"/>
        <d v="2025-03-28T00:00:00"/>
        <d v="2025-06-28T00:00:00"/>
        <d v="2025-11-18T00:00:00"/>
        <d v="2025-10-17T00:00:00"/>
        <d v="2025-01-29T00:00:00"/>
        <d v="2025-11-01T00:00:00"/>
        <d v="2025-02-01T00:00:00"/>
        <d v="2025-09-25T00:00:00"/>
        <d v="2025-07-29T00:00:00"/>
        <d v="2025-12-03T00:00:00"/>
        <d v="2025-03-14T00:00:00"/>
        <d v="2025-02-21T00:00:00"/>
        <d v="2025-06-22T00:00:00"/>
        <d v="2025-08-13T00:00:00"/>
        <d v="2025-04-13T00:00:00"/>
        <d v="2025-09-04T00:00:00"/>
        <d v="2025-01-28T00:00:00"/>
        <d v="2025-04-25T00:00:00"/>
        <d v="2025-03-16T00:00:00"/>
        <d v="2025-03-13T00:00:00"/>
        <d v="2025-03-04T00:00:00"/>
        <d v="2025-05-04T00:00:00"/>
        <d v="2025-07-04T00:00:00"/>
        <d v="2025-01-09T00:00:00"/>
        <d v="2025-10-25T00:00:00"/>
        <d v="2025-11-26T00:00:00"/>
        <d v="2025-04-04T00:00:00"/>
        <d v="2025-12-21T00:00:00"/>
        <d v="2025-08-17T00:00:00"/>
        <d v="2025-09-20T00:00:00"/>
        <d v="2025-03-12T00:00:00"/>
        <d v="2025-05-27T00:00:00"/>
        <d v="2025-03-30T00:00:00"/>
        <d v="2025-06-27T00:00:00"/>
        <d v="2025-11-10T00:00:00"/>
        <d v="2025-02-07T00:00:00"/>
        <d v="2025-09-21T00:00:00"/>
        <d v="2025-01-05T00:00:00"/>
        <d v="2025-07-07T00:00:00"/>
        <d v="2025-08-22T00:00:00"/>
        <d v="2025-03-25T00:00:00"/>
        <d v="2025-09-03T00:00:00"/>
        <d v="2025-10-21T00:00:00"/>
        <d v="2025-03-19T00:00:00"/>
        <d v="2025-08-30T00:00:00"/>
        <d v="2025-08-24T00:00:00"/>
        <d v="2025-09-05T00:00:00"/>
        <d v="2025-10-06T00:00:00"/>
        <d v="2025-05-12T00:00:00"/>
        <d v="2025-11-30T00:00:00"/>
        <d v="2025-02-15T00:00:00"/>
        <d v="2025-03-31T00:00:00"/>
        <d v="2025-09-11T00:00:00"/>
        <d v="2025-10-18T00:00:00"/>
        <d v="2025-02-27T00:00:00"/>
        <d v="2025-02-14T00:00:00"/>
        <d v="2025-06-15T00:00:00"/>
        <d v="2025-10-16T00:00:00"/>
        <d v="2025-10-14T00:00:00"/>
        <d v="2025-11-25T00:00:00"/>
        <d v="2025-07-13T00:00:00"/>
        <d v="2025-12-01T00:00:00"/>
        <d v="2025-08-26T00:00:00"/>
        <d v="2025-04-16T00:00:00"/>
        <d v="2025-12-27T00:00:00"/>
        <d v="2025-04-30T00:00:00"/>
        <d v="2025-12-11T00:00:00"/>
        <d v="2025-04-15T00:00:00"/>
        <d v="2025-12-10T00:00:00"/>
        <d v="2025-06-14T00:00:00"/>
        <d v="2025-06-13T00:00:00"/>
        <d v="2025-08-02T00:00:00"/>
        <d v="2025-01-31T00:00:00"/>
        <d v="2025-01-07T00:00:00"/>
        <d v="2025-02-19T00:00:00"/>
        <d v="2025-07-01T00:00:00"/>
        <d v="2025-08-11T00:00:00"/>
        <d v="2025-01-17T00:00:00"/>
        <d v="2025-12-19T00:00:00"/>
        <d v="2025-07-23T00:00:00"/>
        <d v="2025-11-03T00:00:00"/>
        <d v="2025-02-09T00:00:00"/>
        <d v="2025-11-12T00:00:00"/>
        <d v="2025-06-20T00:00:00"/>
        <d v="2025-06-21T00:00:00"/>
        <d v="2025-09-13T00:00:00"/>
        <d v="2025-09-23T00:00:00"/>
        <d v="2025-07-20T00:00:00"/>
        <d v="2025-01-13T00:00:00"/>
        <d v="2025-02-04T00:00:00"/>
        <d v="2025-04-05T00:00:00"/>
        <d v="2025-11-11T00:00:00"/>
        <d v="2025-08-03T00:00:00"/>
        <d v="2025-11-22T00:00:00"/>
        <d v="2025-07-16T00:00:00"/>
        <d v="2025-04-23T00:00:00"/>
        <d v="2025-05-15T00:00:00"/>
        <d v="2025-05-02T00:00:00"/>
        <d v="2025-08-08T00:00:00"/>
        <d v="2025-02-08T00:00:00"/>
        <d v="2025-10-08T00:00:00"/>
        <d v="2025-07-22T00:00:00"/>
        <d v="2025-02-18T00:00:00"/>
        <d v="2025-03-03T00:00:00"/>
        <d v="2025-11-04T00:00:00"/>
        <d v="2025-12-26T00:00:00"/>
        <d v="2025-12-24T00:00:00"/>
        <d v="2025-01-06T00:00:00"/>
        <d v="2025-07-10T00:00:00"/>
        <d v="2025-10-23T00:00:00"/>
        <d v="2025-01-23T00:00:00"/>
        <d v="2025-01-27T00:00:00"/>
        <d v="2025-11-15T00:00:00"/>
        <d v="2025-04-11T00:00:00"/>
        <d v="2025-06-11T00:00:00"/>
        <d v="2025-07-27T00:00:00"/>
        <d v="2025-04-20T00:00:00"/>
        <d v="2025-11-02T00:00:00"/>
        <d v="2025-10-30T00:00:00"/>
        <d v="2025-04-01T00:00:00"/>
        <d v="2025-01-18T00:00:00"/>
        <d v="2025-06-25T00:00:00"/>
        <d v="2025-01-14T00:00:00"/>
        <d v="2025-03-01T00:00:00"/>
        <d v="2025-04-06T00:00:00"/>
        <d v="2025-10-11T00:00:00"/>
        <d v="2025-05-22T00:00:00"/>
        <d v="2025-05-24T00:00:00"/>
        <d v="2025-06-03T00:00:00"/>
        <d v="2025-03-02T00:00:00"/>
        <d v="2025-06-02T00:00:00"/>
        <d v="2025-03-23T00:00:00"/>
        <d v="2025-07-11T00:00:00"/>
        <d v="2025-01-12T00:00:00"/>
        <d v="2025-02-23T00:00:00"/>
        <d v="2025-09-19T00:00:00"/>
        <d v="2025-09-07T00:00:00"/>
        <d v="2025-11-06T00:00:00"/>
        <d v="2025-06-23T00:00:00"/>
        <d v="2025-01-03T00:00:00"/>
        <d v="2025-05-09T00:00:00"/>
        <d v="2025-11-05T00:00:00"/>
        <d v="2025-11-13T00:00:00"/>
        <d v="2025-09-22T00:00:00"/>
        <d v="2025-10-12T00:00:00"/>
        <d v="2025-10-03T00:00:00"/>
        <d v="2025-04-10T00:00:00"/>
        <d v="2025-07-12T00:00:00"/>
        <d v="2025-04-02T00:00:00"/>
        <d v="2025-05-26T00:00:00"/>
        <d v="2025-04-14T00:00:00"/>
        <d v="2025-07-25T00:00:00"/>
        <d v="2025-11-19T00:00:00"/>
        <d v="2025-02-06T00:00:00"/>
        <d v="2025-02-12T00:00:00"/>
        <d v="2025-06-16T00:00:00"/>
        <d v="2025-09-26T00:00:00"/>
        <d v="2025-08-04T00:00:00"/>
        <d v="2025-12-20T00:00:00"/>
        <d v="2025-07-02T00:00:00"/>
        <d v="2025-08-28T00:00:00"/>
        <d v="2025-09-14T00:00:00"/>
      </sharedItems>
      <fieldGroup par="9"/>
    </cacheField>
    <cacheField name="Customer Name" numFmtId="0">
      <sharedItems/>
    </cacheField>
    <cacheField name="Region" numFmtId="0">
      <sharedItems count="5">
        <s v="North"/>
        <s v="East"/>
        <s v="South"/>
        <s v="Central"/>
        <s v="West"/>
      </sharedItems>
    </cacheField>
    <cacheField name="Product" numFmtId="0">
      <sharedItems count="15">
        <s v="Mobile"/>
        <s v="Backpack"/>
        <s v="Water Bottle"/>
        <s v="Mouse"/>
        <s v="Keyboard"/>
        <s v="Pen Set"/>
        <s v="Jeans"/>
        <s v="Headphones"/>
        <s v="Monitor"/>
        <s v="Desk"/>
        <s v="Office Chair"/>
        <s v="Shoes"/>
        <s v="Laptop"/>
        <s v="T-Shirt"/>
        <s v="Notebook"/>
      </sharedItems>
    </cacheField>
    <cacheField name="Category" numFmtId="0">
      <sharedItems count="6">
        <s v="Electronics"/>
        <s v="Bags"/>
        <s v="Accessories"/>
        <s v="Stationery"/>
        <s v="Fashion"/>
        <s v="Furniture"/>
      </sharedItems>
    </cacheField>
    <cacheField name="Quantity" numFmtId="0">
      <sharedItems containsSemiMixedTypes="0" containsString="0" containsNumber="1" containsInteger="1" minValue="1" maxValue="12"/>
    </cacheField>
    <cacheField name="Total Sales" numFmtId="0">
      <sharedItems containsSemiMixedTypes="0" containsString="0" containsNumber="1" containsInteger="1" minValue="69" maxValue="746364"/>
    </cacheField>
    <cacheField name="Profit" numFmtId="0">
      <sharedItems containsSemiMixedTypes="0" containsString="0" containsNumber="1" minValue="16.61" maxValue="163522.16"/>
    </cacheField>
    <cacheField name="Days (Date)" numFmtId="0" databaseField="0">
      <fieldGroup base="0">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Date)" numFmtId="0" databaseField="0">
      <fieldGroup base="0">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5110275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Rohan Yadav"/>
    <x v="0"/>
    <x v="0"/>
    <x v="0"/>
    <n v="1"/>
    <n v="21012"/>
    <n v="2555.7199999999998"/>
  </r>
  <r>
    <x v="1"/>
    <s v="Pooja Sharma"/>
    <x v="0"/>
    <x v="1"/>
    <x v="1"/>
    <n v="12"/>
    <n v="35196"/>
    <n v="3335.86"/>
  </r>
  <r>
    <x v="2"/>
    <s v="Aarav Mehta"/>
    <x v="1"/>
    <x v="0"/>
    <x v="0"/>
    <n v="4"/>
    <n v="78492"/>
    <n v="13022.64"/>
  </r>
  <r>
    <x v="3"/>
    <s v="Aman Negi"/>
    <x v="2"/>
    <x v="2"/>
    <x v="2"/>
    <n v="11"/>
    <n v="11198"/>
    <n v="1933.22"/>
  </r>
  <r>
    <x v="4"/>
    <s v="Priya Gupta"/>
    <x v="2"/>
    <x v="3"/>
    <x v="0"/>
    <n v="1"/>
    <n v="626"/>
    <n v="124.38"/>
  </r>
  <r>
    <x v="5"/>
    <s v="Arjun Joshi"/>
    <x v="2"/>
    <x v="4"/>
    <x v="0"/>
    <n v="6"/>
    <n v="4254"/>
    <n v="407.39"/>
  </r>
  <r>
    <x v="6"/>
    <s v="Sneha Mehta"/>
    <x v="0"/>
    <x v="5"/>
    <x v="3"/>
    <n v="5"/>
    <n v="1430"/>
    <n v="124.96"/>
  </r>
  <r>
    <x v="7"/>
    <s v="Isha Tiwari"/>
    <x v="3"/>
    <x v="6"/>
    <x v="4"/>
    <n v="7"/>
    <n v="10654"/>
    <n v="1852.16"/>
  </r>
  <r>
    <x v="8"/>
    <s v="Aman Chauhan"/>
    <x v="0"/>
    <x v="5"/>
    <x v="3"/>
    <n v="4"/>
    <n v="1040"/>
    <n v="95.5"/>
  </r>
  <r>
    <x v="9"/>
    <s v="Sneha Das"/>
    <x v="3"/>
    <x v="0"/>
    <x v="0"/>
    <n v="4"/>
    <n v="61236"/>
    <n v="8856.0400000000009"/>
  </r>
  <r>
    <x v="10"/>
    <s v="Vikash Yadav"/>
    <x v="4"/>
    <x v="7"/>
    <x v="0"/>
    <n v="6"/>
    <n v="22260"/>
    <n v="2573.62"/>
  </r>
  <r>
    <x v="11"/>
    <s v="Riya Yadav"/>
    <x v="0"/>
    <x v="1"/>
    <x v="1"/>
    <n v="2"/>
    <n v="6390"/>
    <n v="1200.98"/>
  </r>
  <r>
    <x v="12"/>
    <s v="Riya Kumar"/>
    <x v="0"/>
    <x v="7"/>
    <x v="0"/>
    <n v="8"/>
    <n v="31264"/>
    <n v="3935.86"/>
  </r>
  <r>
    <x v="13"/>
    <s v="Priya Rawat"/>
    <x v="0"/>
    <x v="8"/>
    <x v="0"/>
    <n v="1"/>
    <n v="15505"/>
    <n v="3406.55"/>
  </r>
  <r>
    <x v="14"/>
    <s v="Priya Kumar"/>
    <x v="2"/>
    <x v="0"/>
    <x v="0"/>
    <n v="4"/>
    <n v="122340"/>
    <n v="28013.72"/>
  </r>
  <r>
    <x v="15"/>
    <s v="Vikash Singh"/>
    <x v="2"/>
    <x v="9"/>
    <x v="5"/>
    <n v="7"/>
    <n v="101724"/>
    <n v="16072.88"/>
  </r>
  <r>
    <x v="16"/>
    <s v="Meera Rawat"/>
    <x v="3"/>
    <x v="2"/>
    <x v="2"/>
    <n v="9"/>
    <n v="7659"/>
    <n v="954.82"/>
  </r>
  <r>
    <x v="17"/>
    <s v="Rohan Mehta"/>
    <x v="3"/>
    <x v="10"/>
    <x v="5"/>
    <n v="6"/>
    <n v="51558"/>
    <n v="12866.06"/>
  </r>
  <r>
    <x v="18"/>
    <s v="Rahul Chauhan"/>
    <x v="0"/>
    <x v="0"/>
    <x v="0"/>
    <n v="1"/>
    <n v="15592"/>
    <n v="1652.49"/>
  </r>
  <r>
    <x v="19"/>
    <s v="Isha Negi"/>
    <x v="3"/>
    <x v="10"/>
    <x v="5"/>
    <n v="10"/>
    <n v="60400"/>
    <n v="8782.7900000000009"/>
  </r>
  <r>
    <x v="20"/>
    <s v="Arjun Das"/>
    <x v="2"/>
    <x v="3"/>
    <x v="0"/>
    <n v="9"/>
    <n v="2907"/>
    <n v="568.75"/>
  </r>
  <r>
    <x v="21"/>
    <s v="Pooja Singh"/>
    <x v="3"/>
    <x v="11"/>
    <x v="4"/>
    <n v="5"/>
    <n v="19930"/>
    <n v="1972.35"/>
  </r>
  <r>
    <x v="22"/>
    <s v="Rahul Mehta"/>
    <x v="4"/>
    <x v="12"/>
    <x v="0"/>
    <n v="12"/>
    <n v="643560"/>
    <n v="157814.41"/>
  </r>
  <r>
    <x v="23"/>
    <s v="Simran Patel"/>
    <x v="2"/>
    <x v="13"/>
    <x v="4"/>
    <n v="11"/>
    <n v="12221"/>
    <n v="2726.31"/>
  </r>
  <r>
    <x v="3"/>
    <s v="Simran Tiwari"/>
    <x v="4"/>
    <x v="7"/>
    <x v="0"/>
    <n v="6"/>
    <n v="12738"/>
    <n v="2187.04"/>
  </r>
  <r>
    <x v="24"/>
    <s v="Ananya Tiwari"/>
    <x v="3"/>
    <x v="5"/>
    <x v="3"/>
    <n v="6"/>
    <n v="1230"/>
    <n v="102.47"/>
  </r>
  <r>
    <x v="25"/>
    <s v="Aditya Verma"/>
    <x v="1"/>
    <x v="4"/>
    <x v="0"/>
    <n v="1"/>
    <n v="993"/>
    <n v="227.66"/>
  </r>
  <r>
    <x v="26"/>
    <s v="Rohan Das"/>
    <x v="0"/>
    <x v="13"/>
    <x v="4"/>
    <n v="2"/>
    <n v="3180"/>
    <n v="668.41"/>
  </r>
  <r>
    <x v="27"/>
    <s v="Isha Rawat"/>
    <x v="2"/>
    <x v="14"/>
    <x v="3"/>
    <n v="3"/>
    <n v="351"/>
    <n v="59.57"/>
  </r>
  <r>
    <x v="28"/>
    <s v="Neha Das"/>
    <x v="4"/>
    <x v="6"/>
    <x v="4"/>
    <n v="9"/>
    <n v="18207"/>
    <n v="3663.27"/>
  </r>
  <r>
    <x v="29"/>
    <s v="Aman Kumar"/>
    <x v="1"/>
    <x v="8"/>
    <x v="0"/>
    <n v="8"/>
    <n v="199672"/>
    <n v="31299.11"/>
  </r>
  <r>
    <x v="30"/>
    <s v="Aarav Verma"/>
    <x v="1"/>
    <x v="8"/>
    <x v="0"/>
    <n v="1"/>
    <n v="15540"/>
    <n v="2797.74"/>
  </r>
  <r>
    <x v="31"/>
    <s v="Vivaan Mishra"/>
    <x v="2"/>
    <x v="1"/>
    <x v="1"/>
    <n v="1"/>
    <n v="1637"/>
    <n v="149.72"/>
  </r>
  <r>
    <x v="32"/>
    <s v="Kavya Kumar"/>
    <x v="2"/>
    <x v="0"/>
    <x v="0"/>
    <n v="9"/>
    <n v="178182"/>
    <n v="22689.9"/>
  </r>
  <r>
    <x v="33"/>
    <s v="Kavya Chauhan"/>
    <x v="1"/>
    <x v="7"/>
    <x v="0"/>
    <n v="12"/>
    <n v="56064"/>
    <n v="6801.1"/>
  </r>
  <r>
    <x v="34"/>
    <s v="Ananya Rawat"/>
    <x v="0"/>
    <x v="4"/>
    <x v="0"/>
    <n v="2"/>
    <n v="1396"/>
    <n v="268.07"/>
  </r>
  <r>
    <x v="35"/>
    <s v="Arjun Sharma"/>
    <x v="0"/>
    <x v="9"/>
    <x v="5"/>
    <n v="12"/>
    <n v="58644"/>
    <n v="11404.61"/>
  </r>
  <r>
    <x v="36"/>
    <s v="Aman Kumar"/>
    <x v="4"/>
    <x v="2"/>
    <x v="2"/>
    <n v="6"/>
    <n v="6714"/>
    <n v="1520.62"/>
  </r>
  <r>
    <x v="37"/>
    <s v="Vikash Negi"/>
    <x v="0"/>
    <x v="14"/>
    <x v="3"/>
    <n v="8"/>
    <n v="680"/>
    <n v="103.17"/>
  </r>
  <r>
    <x v="38"/>
    <s v="Riya Verma"/>
    <x v="1"/>
    <x v="13"/>
    <x v="4"/>
    <n v="2"/>
    <n v="2814"/>
    <n v="611.66"/>
  </r>
  <r>
    <x v="39"/>
    <s v="Aman Singh"/>
    <x v="1"/>
    <x v="1"/>
    <x v="1"/>
    <n v="9"/>
    <n v="6840"/>
    <n v="1673.95"/>
  </r>
  <r>
    <x v="34"/>
    <s v="Vivaan Singh"/>
    <x v="3"/>
    <x v="9"/>
    <x v="5"/>
    <n v="8"/>
    <n v="60016"/>
    <n v="13623.07"/>
  </r>
  <r>
    <x v="40"/>
    <s v="Sneha Gupta"/>
    <x v="1"/>
    <x v="12"/>
    <x v="0"/>
    <n v="7"/>
    <n v="375830"/>
    <n v="89262.66"/>
  </r>
  <r>
    <x v="41"/>
    <s v="Kavya Singh"/>
    <x v="0"/>
    <x v="2"/>
    <x v="2"/>
    <n v="12"/>
    <n v="13224"/>
    <n v="2307.33"/>
  </r>
  <r>
    <x v="37"/>
    <s v="Riya Sharma"/>
    <x v="4"/>
    <x v="3"/>
    <x v="0"/>
    <n v="4"/>
    <n v="1676"/>
    <n v="299.10000000000002"/>
  </r>
  <r>
    <x v="42"/>
    <s v="Simran Singh"/>
    <x v="3"/>
    <x v="12"/>
    <x v="0"/>
    <n v="1"/>
    <n v="64142"/>
    <n v="10330.33"/>
  </r>
  <r>
    <x v="43"/>
    <s v="Aditya Das"/>
    <x v="0"/>
    <x v="14"/>
    <x v="3"/>
    <n v="2"/>
    <n v="194"/>
    <n v="17.78"/>
  </r>
  <r>
    <x v="44"/>
    <s v="Isha Sharma"/>
    <x v="4"/>
    <x v="10"/>
    <x v="5"/>
    <n v="2"/>
    <n v="28666"/>
    <n v="3493.14"/>
  </r>
  <r>
    <x v="45"/>
    <s v="Simran Joshi"/>
    <x v="0"/>
    <x v="0"/>
    <x v="0"/>
    <n v="7"/>
    <n v="234780"/>
    <n v="42078.28"/>
  </r>
  <r>
    <x v="46"/>
    <s v="Vikash Rawat"/>
    <x v="3"/>
    <x v="4"/>
    <x v="0"/>
    <n v="11"/>
    <n v="21626"/>
    <n v="2885.15"/>
  </r>
  <r>
    <x v="47"/>
    <s v="Aditya Sharma"/>
    <x v="1"/>
    <x v="1"/>
    <x v="1"/>
    <n v="11"/>
    <n v="21208"/>
    <n v="3345.1"/>
  </r>
  <r>
    <x v="48"/>
    <s v="Karan Mehta"/>
    <x v="3"/>
    <x v="5"/>
    <x v="3"/>
    <n v="10"/>
    <n v="1050"/>
    <n v="97.08"/>
  </r>
  <r>
    <x v="49"/>
    <s v="Ananya Gupta"/>
    <x v="1"/>
    <x v="7"/>
    <x v="0"/>
    <n v="6"/>
    <n v="8178"/>
    <n v="1876.65"/>
  </r>
  <r>
    <x v="50"/>
    <s v="Simran Sharma"/>
    <x v="3"/>
    <x v="9"/>
    <x v="5"/>
    <n v="9"/>
    <n v="80604"/>
    <n v="14829.94"/>
  </r>
  <r>
    <x v="51"/>
    <s v="Arjun Tiwari"/>
    <x v="2"/>
    <x v="13"/>
    <x v="4"/>
    <n v="9"/>
    <n v="10017"/>
    <n v="2388.04"/>
  </r>
  <r>
    <x v="52"/>
    <s v="Rohan Gupta"/>
    <x v="0"/>
    <x v="3"/>
    <x v="0"/>
    <n v="2"/>
    <n v="1038"/>
    <n v="214.05"/>
  </r>
  <r>
    <x v="53"/>
    <s v="Vikash Mehta"/>
    <x v="0"/>
    <x v="5"/>
    <x v="3"/>
    <n v="4"/>
    <n v="1052"/>
    <n v="145.47999999999999"/>
  </r>
  <r>
    <x v="54"/>
    <s v="Vikash Sharma"/>
    <x v="2"/>
    <x v="3"/>
    <x v="0"/>
    <n v="1"/>
    <n v="489"/>
    <n v="91.85"/>
  </r>
  <r>
    <x v="55"/>
    <s v="Sneha Mehta"/>
    <x v="1"/>
    <x v="8"/>
    <x v="0"/>
    <n v="3"/>
    <n v="49749"/>
    <n v="5346.47"/>
  </r>
  <r>
    <x v="56"/>
    <s v="Rohan Mehta"/>
    <x v="0"/>
    <x v="10"/>
    <x v="5"/>
    <n v="9"/>
    <n v="46422"/>
    <n v="4596.6400000000003"/>
  </r>
  <r>
    <x v="57"/>
    <s v="Pooja Singh"/>
    <x v="2"/>
    <x v="13"/>
    <x v="4"/>
    <n v="6"/>
    <n v="10152"/>
    <n v="1765.73"/>
  </r>
  <r>
    <x v="58"/>
    <s v="Karan Das"/>
    <x v="0"/>
    <x v="3"/>
    <x v="0"/>
    <n v="6"/>
    <n v="2286"/>
    <n v="532.22"/>
  </r>
  <r>
    <x v="38"/>
    <s v="Pooja Patel"/>
    <x v="4"/>
    <x v="1"/>
    <x v="1"/>
    <n v="2"/>
    <n v="4296"/>
    <n v="913.41"/>
  </r>
  <r>
    <x v="5"/>
    <s v="Rahul Tiwari"/>
    <x v="1"/>
    <x v="6"/>
    <x v="4"/>
    <n v="4"/>
    <n v="7460"/>
    <n v="1834.82"/>
  </r>
  <r>
    <x v="59"/>
    <s v="Pooja Chauhan"/>
    <x v="4"/>
    <x v="12"/>
    <x v="0"/>
    <n v="3"/>
    <n v="167655"/>
    <n v="35711.47"/>
  </r>
  <r>
    <x v="60"/>
    <s v="Arjun Rawat"/>
    <x v="1"/>
    <x v="13"/>
    <x v="4"/>
    <n v="12"/>
    <n v="12096"/>
    <n v="1516.32"/>
  </r>
  <r>
    <x v="61"/>
    <s v="Sneha Joshi"/>
    <x v="2"/>
    <x v="13"/>
    <x v="4"/>
    <n v="8"/>
    <n v="7640"/>
    <n v="870.41"/>
  </r>
  <r>
    <x v="62"/>
    <s v="Karan Rawat"/>
    <x v="1"/>
    <x v="13"/>
    <x v="4"/>
    <n v="4"/>
    <n v="3824"/>
    <n v="321.3"/>
  </r>
  <r>
    <x v="63"/>
    <s v="Simran Rawat"/>
    <x v="1"/>
    <x v="3"/>
    <x v="0"/>
    <n v="2"/>
    <n v="1742"/>
    <n v="243.35"/>
  </r>
  <r>
    <x v="64"/>
    <s v="Arjun Tiwari"/>
    <x v="2"/>
    <x v="13"/>
    <x v="4"/>
    <n v="9"/>
    <n v="10602"/>
    <n v="2540.98"/>
  </r>
  <r>
    <x v="46"/>
    <s v="Isha Rawat"/>
    <x v="1"/>
    <x v="7"/>
    <x v="0"/>
    <n v="10"/>
    <n v="29740"/>
    <n v="2572.62"/>
  </r>
  <r>
    <x v="6"/>
    <s v="Simran Verma"/>
    <x v="0"/>
    <x v="2"/>
    <x v="2"/>
    <n v="6"/>
    <n v="4476"/>
    <n v="819.36"/>
  </r>
  <r>
    <x v="65"/>
    <s v="Pooja Sharma"/>
    <x v="3"/>
    <x v="6"/>
    <x v="4"/>
    <n v="10"/>
    <n v="19780"/>
    <n v="2438.9299999999998"/>
  </r>
  <r>
    <x v="66"/>
    <s v="Aditya Das"/>
    <x v="2"/>
    <x v="6"/>
    <x v="4"/>
    <n v="9"/>
    <n v="18063"/>
    <n v="2563.46"/>
  </r>
  <r>
    <x v="32"/>
    <s v="Ankit Mehta"/>
    <x v="3"/>
    <x v="5"/>
    <x v="3"/>
    <n v="6"/>
    <n v="1494"/>
    <n v="334.9"/>
  </r>
  <r>
    <x v="67"/>
    <s v="Ankit Mehta"/>
    <x v="2"/>
    <x v="1"/>
    <x v="1"/>
    <n v="7"/>
    <n v="14252"/>
    <n v="2115.11"/>
  </r>
  <r>
    <x v="68"/>
    <s v="Rahul Patel"/>
    <x v="2"/>
    <x v="4"/>
    <x v="0"/>
    <n v="7"/>
    <n v="13027"/>
    <n v="3124.68"/>
  </r>
  <r>
    <x v="69"/>
    <s v="Ankit Gupta"/>
    <x v="4"/>
    <x v="3"/>
    <x v="0"/>
    <n v="7"/>
    <n v="9954"/>
    <n v="2207.13"/>
  </r>
  <r>
    <x v="70"/>
    <s v="Sneha Negi"/>
    <x v="4"/>
    <x v="10"/>
    <x v="5"/>
    <n v="10"/>
    <n v="149390"/>
    <n v="28578.3"/>
  </r>
  <r>
    <x v="71"/>
    <s v="Rahul Das"/>
    <x v="1"/>
    <x v="1"/>
    <x v="1"/>
    <n v="4"/>
    <n v="11172"/>
    <n v="1792.45"/>
  </r>
  <r>
    <x v="72"/>
    <s v="Priya Verma"/>
    <x v="3"/>
    <x v="3"/>
    <x v="0"/>
    <n v="9"/>
    <n v="14931"/>
    <n v="2801.05"/>
  </r>
  <r>
    <x v="44"/>
    <s v="Rohan Sharma"/>
    <x v="2"/>
    <x v="1"/>
    <x v="1"/>
    <n v="5"/>
    <n v="8100"/>
    <n v="1758.64"/>
  </r>
  <r>
    <x v="73"/>
    <s v="Aditya Negi"/>
    <x v="1"/>
    <x v="4"/>
    <x v="0"/>
    <n v="8"/>
    <n v="14008"/>
    <n v="3144.17"/>
  </r>
  <r>
    <x v="74"/>
    <s v="Neha Negi"/>
    <x v="0"/>
    <x v="6"/>
    <x v="4"/>
    <n v="11"/>
    <n v="21956"/>
    <n v="4437.72"/>
  </r>
  <r>
    <x v="75"/>
    <s v="Arjun Chauhan"/>
    <x v="2"/>
    <x v="4"/>
    <x v="0"/>
    <n v="3"/>
    <n v="5529"/>
    <n v="1088.6400000000001"/>
  </r>
  <r>
    <x v="76"/>
    <s v="Simran Negi"/>
    <x v="0"/>
    <x v="4"/>
    <x v="0"/>
    <n v="3"/>
    <n v="6438"/>
    <n v="1563.5"/>
  </r>
  <r>
    <x v="39"/>
    <s v="Sneha Das"/>
    <x v="1"/>
    <x v="14"/>
    <x v="3"/>
    <n v="4"/>
    <n v="324"/>
    <n v="51.06"/>
  </r>
  <r>
    <x v="77"/>
    <s v="Sneha Patel"/>
    <x v="4"/>
    <x v="14"/>
    <x v="3"/>
    <n v="10"/>
    <n v="1310"/>
    <n v="316.37"/>
  </r>
  <r>
    <x v="78"/>
    <s v="Kavya Negi"/>
    <x v="1"/>
    <x v="10"/>
    <x v="5"/>
    <n v="9"/>
    <n v="110745"/>
    <n v="25751.02"/>
  </r>
  <r>
    <x v="79"/>
    <s v="Simran Negi"/>
    <x v="0"/>
    <x v="11"/>
    <x v="4"/>
    <n v="4"/>
    <n v="13884"/>
    <n v="2918.25"/>
  </r>
  <r>
    <x v="80"/>
    <s v="Ankit Kumar"/>
    <x v="2"/>
    <x v="4"/>
    <x v="0"/>
    <n v="5"/>
    <n v="7000"/>
    <n v="652.21"/>
  </r>
  <r>
    <x v="81"/>
    <s v="Aman Rawat"/>
    <x v="3"/>
    <x v="8"/>
    <x v="0"/>
    <n v="6"/>
    <n v="63840"/>
    <n v="6608.95"/>
  </r>
  <r>
    <x v="82"/>
    <s v="Pooja Joshi"/>
    <x v="1"/>
    <x v="7"/>
    <x v="0"/>
    <n v="12"/>
    <n v="30624"/>
    <n v="2784.3"/>
  </r>
  <r>
    <x v="83"/>
    <s v="Pooja Rawat"/>
    <x v="2"/>
    <x v="9"/>
    <x v="5"/>
    <n v="7"/>
    <n v="35140"/>
    <n v="4046.79"/>
  </r>
  <r>
    <x v="84"/>
    <s v="Meera Rawat"/>
    <x v="4"/>
    <x v="2"/>
    <x v="2"/>
    <n v="1"/>
    <n v="1177"/>
    <n v="270.37"/>
  </r>
  <r>
    <x v="85"/>
    <s v="Pooja Mehta"/>
    <x v="4"/>
    <x v="12"/>
    <x v="0"/>
    <n v="6"/>
    <n v="328704"/>
    <n v="68400.27"/>
  </r>
  <r>
    <x v="86"/>
    <s v="Vikash Rawat"/>
    <x v="4"/>
    <x v="11"/>
    <x v="4"/>
    <n v="10"/>
    <n v="30060"/>
    <n v="4899.75"/>
  </r>
  <r>
    <x v="26"/>
    <s v="Neha Yadav"/>
    <x v="2"/>
    <x v="12"/>
    <x v="0"/>
    <n v="7"/>
    <n v="392098"/>
    <n v="75952.72"/>
  </r>
  <r>
    <x v="87"/>
    <s v="Riya Sharma"/>
    <x v="1"/>
    <x v="13"/>
    <x v="4"/>
    <n v="8"/>
    <n v="6088"/>
    <n v="1502.05"/>
  </r>
  <r>
    <x v="88"/>
    <s v="Pooja Singh"/>
    <x v="2"/>
    <x v="5"/>
    <x v="3"/>
    <n v="10"/>
    <n v="2490"/>
    <n v="210.67"/>
  </r>
  <r>
    <x v="89"/>
    <s v="Karan Negi"/>
    <x v="2"/>
    <x v="7"/>
    <x v="0"/>
    <n v="1"/>
    <n v="2931"/>
    <n v="423.38"/>
  </r>
  <r>
    <x v="90"/>
    <s v="Pooja Gupta"/>
    <x v="3"/>
    <x v="8"/>
    <x v="0"/>
    <n v="7"/>
    <n v="119819"/>
    <n v="24903.38"/>
  </r>
  <r>
    <x v="91"/>
    <s v="Ananya Kumar"/>
    <x v="3"/>
    <x v="9"/>
    <x v="5"/>
    <n v="1"/>
    <n v="12837"/>
    <n v="1140.6300000000001"/>
  </r>
  <r>
    <x v="29"/>
    <s v="Aman Kumar"/>
    <x v="1"/>
    <x v="0"/>
    <x v="0"/>
    <n v="11"/>
    <n v="146509"/>
    <n v="30506.05"/>
  </r>
  <r>
    <x v="92"/>
    <s v="Arjun Patel"/>
    <x v="3"/>
    <x v="5"/>
    <x v="3"/>
    <n v="3"/>
    <n v="423"/>
    <n v="42.92"/>
  </r>
  <r>
    <x v="93"/>
    <s v="Rahul Patel"/>
    <x v="4"/>
    <x v="9"/>
    <x v="5"/>
    <n v="12"/>
    <n v="98376"/>
    <n v="20695.62"/>
  </r>
  <r>
    <x v="94"/>
    <s v="Rahul Gupta"/>
    <x v="3"/>
    <x v="2"/>
    <x v="2"/>
    <n v="12"/>
    <n v="5004"/>
    <n v="1061.97"/>
  </r>
  <r>
    <x v="95"/>
    <s v="Neha Rawat"/>
    <x v="4"/>
    <x v="5"/>
    <x v="3"/>
    <n v="1"/>
    <n v="159"/>
    <n v="28.28"/>
  </r>
  <r>
    <x v="3"/>
    <s v="Aman Verma"/>
    <x v="1"/>
    <x v="0"/>
    <x v="0"/>
    <n v="10"/>
    <n v="346300"/>
    <n v="76600.58"/>
  </r>
  <r>
    <x v="96"/>
    <s v="Meera Chauhan"/>
    <x v="2"/>
    <x v="11"/>
    <x v="4"/>
    <n v="5"/>
    <n v="10955"/>
    <n v="2359.25"/>
  </r>
  <r>
    <x v="58"/>
    <s v="Aditya Mehta"/>
    <x v="2"/>
    <x v="8"/>
    <x v="0"/>
    <n v="9"/>
    <n v="198333"/>
    <n v="38170.9"/>
  </r>
  <r>
    <x v="97"/>
    <s v="Arjun Rawat"/>
    <x v="3"/>
    <x v="8"/>
    <x v="0"/>
    <n v="1"/>
    <n v="21764"/>
    <n v="4783.6499999999996"/>
  </r>
  <r>
    <x v="8"/>
    <s v="Simran Das"/>
    <x v="4"/>
    <x v="1"/>
    <x v="1"/>
    <n v="8"/>
    <n v="10608"/>
    <n v="1633.98"/>
  </r>
  <r>
    <x v="98"/>
    <s v="Pooja Mishra"/>
    <x v="0"/>
    <x v="5"/>
    <x v="3"/>
    <n v="9"/>
    <n v="2502"/>
    <n v="405.81"/>
  </r>
  <r>
    <x v="99"/>
    <s v="Aditya Gupta"/>
    <x v="0"/>
    <x v="3"/>
    <x v="0"/>
    <n v="6"/>
    <n v="4812"/>
    <n v="1064.53"/>
  </r>
  <r>
    <x v="100"/>
    <s v="Neha Joshi"/>
    <x v="0"/>
    <x v="4"/>
    <x v="0"/>
    <n v="8"/>
    <n v="13336"/>
    <n v="2450.58"/>
  </r>
  <r>
    <x v="101"/>
    <s v="Ananya Chauhan"/>
    <x v="2"/>
    <x v="9"/>
    <x v="5"/>
    <n v="6"/>
    <n v="41874"/>
    <n v="6820.58"/>
  </r>
  <r>
    <x v="79"/>
    <s v="Simran Kumar"/>
    <x v="2"/>
    <x v="8"/>
    <x v="0"/>
    <n v="5"/>
    <n v="85260"/>
    <n v="14876.55"/>
  </r>
  <r>
    <x v="72"/>
    <s v="Aman Yadav"/>
    <x v="4"/>
    <x v="4"/>
    <x v="0"/>
    <n v="12"/>
    <n v="15984"/>
    <n v="2606.3200000000002"/>
  </r>
  <r>
    <x v="27"/>
    <s v="Aarav Verma"/>
    <x v="3"/>
    <x v="1"/>
    <x v="1"/>
    <n v="12"/>
    <n v="32520"/>
    <n v="5079.29"/>
  </r>
  <r>
    <x v="102"/>
    <s v="Meera Joshi"/>
    <x v="0"/>
    <x v="4"/>
    <x v="0"/>
    <n v="7"/>
    <n v="13412"/>
    <n v="1627.71"/>
  </r>
  <r>
    <x v="103"/>
    <s v="Riya Joshi"/>
    <x v="4"/>
    <x v="14"/>
    <x v="3"/>
    <n v="9"/>
    <n v="1242"/>
    <n v="189.2"/>
  </r>
  <r>
    <x v="104"/>
    <s v="Aman Verma"/>
    <x v="4"/>
    <x v="2"/>
    <x v="2"/>
    <n v="8"/>
    <n v="4616"/>
    <n v="609.89"/>
  </r>
  <r>
    <x v="105"/>
    <s v="Kavya Gupta"/>
    <x v="3"/>
    <x v="8"/>
    <x v="0"/>
    <n v="2"/>
    <n v="28132"/>
    <n v="3166.59"/>
  </r>
  <r>
    <x v="4"/>
    <s v="Karan Gupta"/>
    <x v="4"/>
    <x v="11"/>
    <x v="4"/>
    <n v="9"/>
    <n v="31662"/>
    <n v="7810.6"/>
  </r>
  <r>
    <x v="106"/>
    <s v="Riya Singh"/>
    <x v="3"/>
    <x v="8"/>
    <x v="0"/>
    <n v="3"/>
    <n v="53712"/>
    <n v="4426.1499999999996"/>
  </r>
  <r>
    <x v="107"/>
    <s v="Rohan Das"/>
    <x v="1"/>
    <x v="12"/>
    <x v="0"/>
    <n v="1"/>
    <n v="63132"/>
    <n v="8185.9"/>
  </r>
  <r>
    <x v="108"/>
    <s v="Kavya Negi"/>
    <x v="3"/>
    <x v="0"/>
    <x v="0"/>
    <n v="1"/>
    <n v="30810"/>
    <n v="3954.08"/>
  </r>
  <r>
    <x v="109"/>
    <s v="Kavya Verma"/>
    <x v="0"/>
    <x v="7"/>
    <x v="0"/>
    <n v="1"/>
    <n v="2868"/>
    <n v="688.26"/>
  </r>
  <r>
    <x v="110"/>
    <s v="Vivaan Singh"/>
    <x v="0"/>
    <x v="10"/>
    <x v="5"/>
    <n v="8"/>
    <n v="49704"/>
    <n v="8851.9599999999991"/>
  </r>
  <r>
    <x v="111"/>
    <s v="Aman Verma"/>
    <x v="3"/>
    <x v="11"/>
    <x v="4"/>
    <n v="10"/>
    <n v="36890"/>
    <n v="3485.4"/>
  </r>
  <r>
    <x v="112"/>
    <s v="Neha Negi"/>
    <x v="1"/>
    <x v="11"/>
    <x v="4"/>
    <n v="7"/>
    <n v="21336"/>
    <n v="4520.41"/>
  </r>
  <r>
    <x v="71"/>
    <s v="Isha Sharma"/>
    <x v="1"/>
    <x v="3"/>
    <x v="0"/>
    <n v="10"/>
    <n v="11780"/>
    <n v="1553.95"/>
  </r>
  <r>
    <x v="113"/>
    <s v="Karan Gupta"/>
    <x v="0"/>
    <x v="2"/>
    <x v="2"/>
    <n v="2"/>
    <n v="2162"/>
    <n v="249.33"/>
  </r>
  <r>
    <x v="114"/>
    <s v="Aditya Singh"/>
    <x v="1"/>
    <x v="0"/>
    <x v="0"/>
    <n v="3"/>
    <n v="59577"/>
    <n v="6526.56"/>
  </r>
  <r>
    <x v="55"/>
    <s v="Ankit Sharma"/>
    <x v="4"/>
    <x v="10"/>
    <x v="5"/>
    <n v="8"/>
    <n v="130352"/>
    <n v="23586.92"/>
  </r>
  <r>
    <x v="115"/>
    <s v="Sneha Verma"/>
    <x v="2"/>
    <x v="3"/>
    <x v="0"/>
    <n v="12"/>
    <n v="10548"/>
    <n v="2104.41"/>
  </r>
  <r>
    <x v="116"/>
    <s v="Meera Das"/>
    <x v="4"/>
    <x v="4"/>
    <x v="0"/>
    <n v="5"/>
    <n v="10565"/>
    <n v="2266.3200000000002"/>
  </r>
  <r>
    <x v="3"/>
    <s v="Rohan Tiwari"/>
    <x v="0"/>
    <x v="10"/>
    <x v="5"/>
    <n v="2"/>
    <n v="27844"/>
    <n v="3291.65"/>
  </r>
  <r>
    <x v="117"/>
    <s v="Ankit Patel"/>
    <x v="1"/>
    <x v="13"/>
    <x v="4"/>
    <n v="3"/>
    <n v="1938"/>
    <n v="174.69"/>
  </r>
  <r>
    <x v="69"/>
    <s v="Ankit Yadav"/>
    <x v="3"/>
    <x v="6"/>
    <x v="4"/>
    <n v="5"/>
    <n v="14990"/>
    <n v="1516.09"/>
  </r>
  <r>
    <x v="36"/>
    <s v="Aditya Patel"/>
    <x v="2"/>
    <x v="3"/>
    <x v="0"/>
    <n v="9"/>
    <n v="12645"/>
    <n v="2073.09"/>
  </r>
  <r>
    <x v="118"/>
    <s v="Aarav Verma"/>
    <x v="3"/>
    <x v="6"/>
    <x v="4"/>
    <n v="7"/>
    <n v="17640"/>
    <n v="3221.62"/>
  </r>
  <r>
    <x v="119"/>
    <s v="Vikash Patel"/>
    <x v="0"/>
    <x v="1"/>
    <x v="1"/>
    <n v="10"/>
    <n v="31040"/>
    <n v="7500.31"/>
  </r>
  <r>
    <x v="118"/>
    <s v="Sneha Tiwari"/>
    <x v="1"/>
    <x v="11"/>
    <x v="4"/>
    <n v="3"/>
    <n v="15162"/>
    <n v="2550.61"/>
  </r>
  <r>
    <x v="120"/>
    <s v="Kavya Verma"/>
    <x v="3"/>
    <x v="7"/>
    <x v="0"/>
    <n v="10"/>
    <n v="43700"/>
    <n v="8211.82"/>
  </r>
  <r>
    <x v="121"/>
    <s v="Arjun Mishra"/>
    <x v="3"/>
    <x v="8"/>
    <x v="0"/>
    <n v="7"/>
    <n v="132447"/>
    <n v="17824.7"/>
  </r>
  <r>
    <x v="122"/>
    <s v="Neha Mishra"/>
    <x v="2"/>
    <x v="8"/>
    <x v="0"/>
    <n v="7"/>
    <n v="169645"/>
    <n v="21883.7"/>
  </r>
  <r>
    <x v="123"/>
    <s v="Priya Verma"/>
    <x v="2"/>
    <x v="12"/>
    <x v="0"/>
    <n v="8"/>
    <n v="383080"/>
    <n v="51128.89"/>
  </r>
  <r>
    <x v="36"/>
    <s v="Riya Negi"/>
    <x v="1"/>
    <x v="13"/>
    <x v="4"/>
    <n v="9"/>
    <n v="4518"/>
    <n v="866.56"/>
  </r>
  <r>
    <x v="59"/>
    <s v="Kavya Das"/>
    <x v="2"/>
    <x v="12"/>
    <x v="0"/>
    <n v="4"/>
    <n v="247952"/>
    <n v="35085.83"/>
  </r>
  <r>
    <x v="71"/>
    <s v="Rohan Tiwari"/>
    <x v="3"/>
    <x v="11"/>
    <x v="4"/>
    <n v="1"/>
    <n v="2867"/>
    <n v="359.52"/>
  </r>
  <r>
    <x v="124"/>
    <s v="Isha Chauhan"/>
    <x v="3"/>
    <x v="9"/>
    <x v="5"/>
    <n v="12"/>
    <n v="143292"/>
    <n v="14421.26"/>
  </r>
  <r>
    <x v="125"/>
    <s v="Riya Rawat"/>
    <x v="0"/>
    <x v="2"/>
    <x v="2"/>
    <n v="3"/>
    <n v="1854"/>
    <n v="321.93"/>
  </r>
  <r>
    <x v="126"/>
    <s v="Rohan Negi"/>
    <x v="3"/>
    <x v="4"/>
    <x v="0"/>
    <n v="2"/>
    <n v="2890"/>
    <n v="696.49"/>
  </r>
  <r>
    <x v="127"/>
    <s v="Kavya Negi"/>
    <x v="1"/>
    <x v="14"/>
    <x v="3"/>
    <n v="12"/>
    <n v="1428"/>
    <n v="215.1"/>
  </r>
  <r>
    <x v="128"/>
    <s v="Isha Mehta"/>
    <x v="4"/>
    <x v="9"/>
    <x v="5"/>
    <n v="9"/>
    <n v="57321"/>
    <n v="8323.56"/>
  </r>
  <r>
    <x v="129"/>
    <s v="Pooja Joshi"/>
    <x v="0"/>
    <x v="13"/>
    <x v="4"/>
    <n v="2"/>
    <n v="2130"/>
    <n v="450.19"/>
  </r>
  <r>
    <x v="130"/>
    <s v="Meera Patel"/>
    <x v="0"/>
    <x v="3"/>
    <x v="0"/>
    <n v="1"/>
    <n v="879"/>
    <n v="178.81"/>
  </r>
  <r>
    <x v="131"/>
    <s v="Ananya Joshi"/>
    <x v="1"/>
    <x v="9"/>
    <x v="5"/>
    <n v="3"/>
    <n v="33948"/>
    <n v="5824.07"/>
  </r>
  <r>
    <x v="132"/>
    <s v="Priya Mishra"/>
    <x v="1"/>
    <x v="11"/>
    <x v="4"/>
    <n v="9"/>
    <n v="38610"/>
    <n v="6077.55"/>
  </r>
  <r>
    <x v="133"/>
    <s v="Pooja Sharma"/>
    <x v="2"/>
    <x v="2"/>
    <x v="2"/>
    <n v="4"/>
    <n v="3540"/>
    <n v="513.66999999999996"/>
  </r>
  <r>
    <x v="134"/>
    <s v="Neha Rawat"/>
    <x v="0"/>
    <x v="2"/>
    <x v="2"/>
    <n v="8"/>
    <n v="8176"/>
    <n v="1923.67"/>
  </r>
  <r>
    <x v="135"/>
    <s v="Vivaan Singh"/>
    <x v="2"/>
    <x v="11"/>
    <x v="4"/>
    <n v="11"/>
    <n v="26906"/>
    <n v="4418.12"/>
  </r>
  <r>
    <x v="136"/>
    <s v="Sneha Verma"/>
    <x v="3"/>
    <x v="5"/>
    <x v="3"/>
    <n v="6"/>
    <n v="630"/>
    <n v="144.03"/>
  </r>
  <r>
    <x v="137"/>
    <s v="Pooja Mishra"/>
    <x v="0"/>
    <x v="6"/>
    <x v="4"/>
    <n v="8"/>
    <n v="10096"/>
    <n v="2047.62"/>
  </r>
  <r>
    <x v="15"/>
    <s v="Vikash Joshi"/>
    <x v="0"/>
    <x v="7"/>
    <x v="0"/>
    <n v="2"/>
    <n v="9292"/>
    <n v="1977.89"/>
  </r>
  <r>
    <x v="138"/>
    <s v="Priya Mishra"/>
    <x v="4"/>
    <x v="2"/>
    <x v="2"/>
    <n v="7"/>
    <n v="6755"/>
    <n v="632.63"/>
  </r>
  <r>
    <x v="139"/>
    <s v="Kavya Mishra"/>
    <x v="0"/>
    <x v="13"/>
    <x v="4"/>
    <n v="9"/>
    <n v="11502"/>
    <n v="2785.83"/>
  </r>
  <r>
    <x v="83"/>
    <s v="Ankit Kumar"/>
    <x v="3"/>
    <x v="12"/>
    <x v="0"/>
    <n v="10"/>
    <n v="472420"/>
    <n v="56648.33"/>
  </r>
  <r>
    <x v="140"/>
    <s v="Arjun Negi"/>
    <x v="2"/>
    <x v="10"/>
    <x v="5"/>
    <n v="2"/>
    <n v="34914"/>
    <n v="6554.65"/>
  </r>
  <r>
    <x v="141"/>
    <s v="Vivaan Gupta"/>
    <x v="2"/>
    <x v="2"/>
    <x v="2"/>
    <n v="5"/>
    <n v="1645"/>
    <n v="144.46"/>
  </r>
  <r>
    <x v="142"/>
    <s v="Pooja Patel"/>
    <x v="4"/>
    <x v="8"/>
    <x v="0"/>
    <n v="7"/>
    <n v="89390"/>
    <n v="10862.1"/>
  </r>
  <r>
    <x v="11"/>
    <s v="Isha Mishra"/>
    <x v="3"/>
    <x v="11"/>
    <x v="4"/>
    <n v="3"/>
    <n v="7776"/>
    <n v="853.51"/>
  </r>
  <r>
    <x v="143"/>
    <s v="Meera Singh"/>
    <x v="2"/>
    <x v="5"/>
    <x v="3"/>
    <n v="11"/>
    <n v="1551"/>
    <n v="255.3"/>
  </r>
  <r>
    <x v="115"/>
    <s v="Aarav Tiwari"/>
    <x v="1"/>
    <x v="9"/>
    <x v="5"/>
    <n v="11"/>
    <n v="89771"/>
    <n v="14195.22"/>
  </r>
  <r>
    <x v="144"/>
    <s v="Sneha Joshi"/>
    <x v="3"/>
    <x v="6"/>
    <x v="4"/>
    <n v="5"/>
    <n v="17190"/>
    <n v="1836.85"/>
  </r>
  <r>
    <x v="145"/>
    <s v="Sneha Mishra"/>
    <x v="3"/>
    <x v="3"/>
    <x v="0"/>
    <n v="11"/>
    <n v="12848"/>
    <n v="2535.6"/>
  </r>
  <r>
    <x v="146"/>
    <s v="Aman Rawat"/>
    <x v="4"/>
    <x v="4"/>
    <x v="0"/>
    <n v="7"/>
    <n v="15729"/>
    <n v="2550.38"/>
  </r>
  <r>
    <x v="147"/>
    <s v="Ankit Sharma"/>
    <x v="2"/>
    <x v="8"/>
    <x v="0"/>
    <n v="10"/>
    <n v="176950"/>
    <n v="44017.67"/>
  </r>
  <r>
    <x v="131"/>
    <s v="Vivaan Tiwari"/>
    <x v="3"/>
    <x v="10"/>
    <x v="5"/>
    <n v="5"/>
    <n v="25660"/>
    <n v="4521.5"/>
  </r>
  <r>
    <x v="94"/>
    <s v="Ankit Chauhan"/>
    <x v="2"/>
    <x v="2"/>
    <x v="2"/>
    <n v="8"/>
    <n v="9216"/>
    <n v="2153.84"/>
  </r>
  <r>
    <x v="119"/>
    <s v="Isha Gupta"/>
    <x v="1"/>
    <x v="5"/>
    <x v="3"/>
    <n v="6"/>
    <n v="816"/>
    <n v="153.59"/>
  </r>
  <r>
    <x v="64"/>
    <s v="Vivaan Gupta"/>
    <x v="4"/>
    <x v="11"/>
    <x v="4"/>
    <n v="12"/>
    <n v="27840"/>
    <n v="5200.57"/>
  </r>
  <r>
    <x v="148"/>
    <s v="Aditya Tiwari"/>
    <x v="1"/>
    <x v="12"/>
    <x v="0"/>
    <n v="10"/>
    <n v="569550"/>
    <n v="116473.64"/>
  </r>
  <r>
    <x v="149"/>
    <s v="Rohan Chauhan"/>
    <x v="4"/>
    <x v="8"/>
    <x v="0"/>
    <n v="12"/>
    <n v="259380"/>
    <n v="28495.18"/>
  </r>
  <r>
    <x v="33"/>
    <s v="Vikash Mishra"/>
    <x v="3"/>
    <x v="6"/>
    <x v="4"/>
    <n v="6"/>
    <n v="20244"/>
    <n v="3346.44"/>
  </r>
  <r>
    <x v="87"/>
    <s v="Priya Chauhan"/>
    <x v="4"/>
    <x v="3"/>
    <x v="0"/>
    <n v="8"/>
    <n v="7232"/>
    <n v="1496.41"/>
  </r>
  <r>
    <x v="150"/>
    <s v="Aman Mishra"/>
    <x v="0"/>
    <x v="9"/>
    <x v="5"/>
    <n v="2"/>
    <n v="12612"/>
    <n v="2625.89"/>
  </r>
  <r>
    <x v="151"/>
    <s v="Riya Joshi"/>
    <x v="2"/>
    <x v="2"/>
    <x v="2"/>
    <n v="11"/>
    <n v="7766"/>
    <n v="1898.29"/>
  </r>
  <r>
    <x v="140"/>
    <s v="Arjun Negi"/>
    <x v="2"/>
    <x v="11"/>
    <x v="4"/>
    <n v="7"/>
    <n v="9198"/>
    <n v="1149.3599999999999"/>
  </r>
  <r>
    <x v="152"/>
    <s v="Neha Mishra"/>
    <x v="0"/>
    <x v="1"/>
    <x v="1"/>
    <n v="12"/>
    <n v="41436"/>
    <n v="5161.58"/>
  </r>
  <r>
    <x v="153"/>
    <s v="Isha Tiwari"/>
    <x v="1"/>
    <x v="8"/>
    <x v="0"/>
    <n v="2"/>
    <n v="31322"/>
    <n v="5016.25"/>
  </r>
  <r>
    <x v="154"/>
    <s v="Sneha Tiwari"/>
    <x v="0"/>
    <x v="8"/>
    <x v="0"/>
    <n v="10"/>
    <n v="152530"/>
    <n v="28996.09"/>
  </r>
  <r>
    <x v="155"/>
    <s v="Vivaan Sharma"/>
    <x v="3"/>
    <x v="3"/>
    <x v="0"/>
    <n v="11"/>
    <n v="12496"/>
    <n v="1247.54"/>
  </r>
  <r>
    <x v="156"/>
    <s v="Riya Singh"/>
    <x v="3"/>
    <x v="9"/>
    <x v="5"/>
    <n v="2"/>
    <n v="11184"/>
    <n v="1341.14"/>
  </r>
  <r>
    <x v="157"/>
    <s v="Riya Rawat"/>
    <x v="2"/>
    <x v="9"/>
    <x v="5"/>
    <n v="6"/>
    <n v="89910"/>
    <n v="21703.8"/>
  </r>
  <r>
    <x v="145"/>
    <s v="Arjun Mishra"/>
    <x v="3"/>
    <x v="2"/>
    <x v="2"/>
    <n v="12"/>
    <n v="5496"/>
    <n v="1266.94"/>
  </r>
  <r>
    <x v="54"/>
    <s v="Ananya Kumar"/>
    <x v="2"/>
    <x v="5"/>
    <x v="3"/>
    <n v="7"/>
    <n v="1057"/>
    <n v="90.44"/>
  </r>
  <r>
    <x v="158"/>
    <s v="Ananya Mehta"/>
    <x v="0"/>
    <x v="9"/>
    <x v="5"/>
    <n v="4"/>
    <n v="39768"/>
    <n v="3853.13"/>
  </r>
  <r>
    <x v="159"/>
    <s v="Arjun Mishra"/>
    <x v="0"/>
    <x v="8"/>
    <x v="0"/>
    <n v="1"/>
    <n v="21046"/>
    <n v="2670.73"/>
  </r>
  <r>
    <x v="22"/>
    <s v="Isha Sharma"/>
    <x v="0"/>
    <x v="0"/>
    <x v="0"/>
    <n v="11"/>
    <n v="208450"/>
    <n v="39415.760000000002"/>
  </r>
  <r>
    <x v="39"/>
    <s v="Meera Kumar"/>
    <x v="2"/>
    <x v="11"/>
    <x v="4"/>
    <n v="6"/>
    <n v="19170"/>
    <n v="4756.07"/>
  </r>
  <r>
    <x v="160"/>
    <s v="Aman Joshi"/>
    <x v="0"/>
    <x v="13"/>
    <x v="4"/>
    <n v="9"/>
    <n v="8316"/>
    <n v="1494.26"/>
  </r>
  <r>
    <x v="161"/>
    <s v="Rohan Singh"/>
    <x v="0"/>
    <x v="11"/>
    <x v="4"/>
    <n v="10"/>
    <n v="12230"/>
    <n v="1554.88"/>
  </r>
  <r>
    <x v="33"/>
    <s v="Aarav Singh"/>
    <x v="1"/>
    <x v="3"/>
    <x v="0"/>
    <n v="3"/>
    <n v="1575"/>
    <n v="303"/>
  </r>
  <r>
    <x v="162"/>
    <s v="Vikash Sharma"/>
    <x v="0"/>
    <x v="8"/>
    <x v="0"/>
    <n v="4"/>
    <n v="74436"/>
    <n v="6154.58"/>
  </r>
  <r>
    <x v="163"/>
    <s v="Aditya Negi"/>
    <x v="3"/>
    <x v="2"/>
    <x v="2"/>
    <n v="7"/>
    <n v="5866"/>
    <n v="582.61"/>
  </r>
  <r>
    <x v="164"/>
    <s v="Sneha Mehta"/>
    <x v="2"/>
    <x v="11"/>
    <x v="4"/>
    <n v="6"/>
    <n v="32424"/>
    <n v="5866.25"/>
  </r>
  <r>
    <x v="165"/>
    <s v="Simran Gupta"/>
    <x v="1"/>
    <x v="5"/>
    <x v="3"/>
    <n v="1"/>
    <n v="266"/>
    <n v="56.7"/>
  </r>
  <r>
    <x v="48"/>
    <s v="Neha Rawat"/>
    <x v="4"/>
    <x v="1"/>
    <x v="1"/>
    <n v="1"/>
    <n v="949"/>
    <n v="237.02"/>
  </r>
  <r>
    <x v="116"/>
    <s v="Aditya Joshi"/>
    <x v="2"/>
    <x v="0"/>
    <x v="0"/>
    <n v="8"/>
    <n v="212272"/>
    <n v="19633.759999999998"/>
  </r>
  <r>
    <x v="166"/>
    <s v="Meera Mehta"/>
    <x v="3"/>
    <x v="7"/>
    <x v="0"/>
    <n v="2"/>
    <n v="3666"/>
    <n v="464.68"/>
  </r>
  <r>
    <x v="167"/>
    <s v="Isha Rawat"/>
    <x v="2"/>
    <x v="8"/>
    <x v="0"/>
    <n v="7"/>
    <n v="123641"/>
    <n v="19427.91"/>
  </r>
  <r>
    <x v="168"/>
    <s v="Riya Yadav"/>
    <x v="3"/>
    <x v="11"/>
    <x v="4"/>
    <n v="12"/>
    <n v="25644"/>
    <n v="5769.25"/>
  </r>
  <r>
    <x v="169"/>
    <s v="Sneha Rawat"/>
    <x v="3"/>
    <x v="10"/>
    <x v="5"/>
    <n v="8"/>
    <n v="69944"/>
    <n v="10515.96"/>
  </r>
  <r>
    <x v="74"/>
    <s v="Vikash Joshi"/>
    <x v="4"/>
    <x v="2"/>
    <x v="2"/>
    <n v="2"/>
    <n v="1240"/>
    <n v="189.16"/>
  </r>
  <r>
    <x v="170"/>
    <s v="Aditya Verma"/>
    <x v="2"/>
    <x v="1"/>
    <x v="1"/>
    <n v="8"/>
    <n v="7792"/>
    <n v="744.2"/>
  </r>
  <r>
    <x v="171"/>
    <s v="Riya Sharma"/>
    <x v="4"/>
    <x v="0"/>
    <x v="0"/>
    <n v="12"/>
    <n v="290520"/>
    <n v="63333.59"/>
  </r>
  <r>
    <x v="145"/>
    <s v="Pooja Joshi"/>
    <x v="4"/>
    <x v="14"/>
    <x v="3"/>
    <n v="9"/>
    <n v="1206"/>
    <n v="233.85"/>
  </r>
  <r>
    <x v="172"/>
    <s v="Isha Gupta"/>
    <x v="2"/>
    <x v="11"/>
    <x v="4"/>
    <n v="7"/>
    <n v="11347"/>
    <n v="2775.79"/>
  </r>
  <r>
    <x v="104"/>
    <s v="Kavya Kumar"/>
    <x v="0"/>
    <x v="0"/>
    <x v="0"/>
    <n v="10"/>
    <n v="286260"/>
    <n v="33253.56"/>
  </r>
  <r>
    <x v="95"/>
    <s v="Vikash Patel"/>
    <x v="0"/>
    <x v="8"/>
    <x v="0"/>
    <n v="9"/>
    <n v="180396"/>
    <n v="17954.900000000001"/>
  </r>
  <r>
    <x v="173"/>
    <s v="Isha Patel"/>
    <x v="4"/>
    <x v="11"/>
    <x v="4"/>
    <n v="7"/>
    <n v="40565"/>
    <n v="9965.7199999999993"/>
  </r>
  <r>
    <x v="139"/>
    <s v="Vikash Sharma"/>
    <x v="1"/>
    <x v="1"/>
    <x v="1"/>
    <n v="9"/>
    <n v="7263"/>
    <n v="1332.97"/>
  </r>
  <r>
    <x v="174"/>
    <s v="Ananya Sharma"/>
    <x v="4"/>
    <x v="3"/>
    <x v="0"/>
    <n v="12"/>
    <n v="11184"/>
    <n v="2646.82"/>
  </r>
  <r>
    <x v="174"/>
    <s v="Aditya Singh"/>
    <x v="4"/>
    <x v="13"/>
    <x v="4"/>
    <n v="3"/>
    <n v="4977"/>
    <n v="954.33"/>
  </r>
  <r>
    <x v="175"/>
    <s v="Pooja Negi"/>
    <x v="4"/>
    <x v="12"/>
    <x v="0"/>
    <n v="2"/>
    <n v="124764"/>
    <n v="14544.06"/>
  </r>
  <r>
    <x v="109"/>
    <s v="Meera Patel"/>
    <x v="0"/>
    <x v="7"/>
    <x v="0"/>
    <n v="6"/>
    <n v="20112"/>
    <n v="4076.13"/>
  </r>
  <r>
    <x v="72"/>
    <s v="Isha Sharma"/>
    <x v="0"/>
    <x v="6"/>
    <x v="4"/>
    <n v="1"/>
    <n v="1837"/>
    <n v="196.12"/>
  </r>
  <r>
    <x v="139"/>
    <s v="Kavya Patel"/>
    <x v="0"/>
    <x v="0"/>
    <x v="0"/>
    <n v="5"/>
    <n v="132595"/>
    <n v="25528.46"/>
  </r>
  <r>
    <x v="71"/>
    <s v="Arjun Joshi"/>
    <x v="4"/>
    <x v="10"/>
    <x v="5"/>
    <n v="5"/>
    <n v="42655"/>
    <n v="8886.76"/>
  </r>
  <r>
    <x v="176"/>
    <s v="Kavya Mehta"/>
    <x v="1"/>
    <x v="0"/>
    <x v="0"/>
    <n v="5"/>
    <n v="171115"/>
    <n v="33426.06"/>
  </r>
  <r>
    <x v="51"/>
    <s v="Isha Sharma"/>
    <x v="0"/>
    <x v="3"/>
    <x v="0"/>
    <n v="1"/>
    <n v="751"/>
    <n v="110.54"/>
  </r>
  <r>
    <x v="177"/>
    <s v="Rohan Chauhan"/>
    <x v="2"/>
    <x v="4"/>
    <x v="0"/>
    <n v="5"/>
    <n v="12180"/>
    <n v="1411.78"/>
  </r>
  <r>
    <x v="178"/>
    <s v="Pooja Singh"/>
    <x v="2"/>
    <x v="3"/>
    <x v="0"/>
    <n v="6"/>
    <n v="3270"/>
    <n v="265.89999999999998"/>
  </r>
  <r>
    <x v="179"/>
    <s v="Riya Mishra"/>
    <x v="2"/>
    <x v="10"/>
    <x v="5"/>
    <n v="9"/>
    <n v="148752"/>
    <n v="17719.16"/>
  </r>
  <r>
    <x v="60"/>
    <s v="Vivaan Rawat"/>
    <x v="3"/>
    <x v="11"/>
    <x v="4"/>
    <n v="6"/>
    <n v="10740"/>
    <n v="1584.17"/>
  </r>
  <r>
    <x v="180"/>
    <s v="Meera Rawat"/>
    <x v="4"/>
    <x v="9"/>
    <x v="5"/>
    <n v="2"/>
    <n v="18258"/>
    <n v="3247.72"/>
  </r>
  <r>
    <x v="181"/>
    <s v="Aarav Joshi"/>
    <x v="2"/>
    <x v="1"/>
    <x v="1"/>
    <n v="7"/>
    <n v="13195"/>
    <n v="1313.95"/>
  </r>
  <r>
    <x v="182"/>
    <s v="Ananya Verma"/>
    <x v="4"/>
    <x v="11"/>
    <x v="4"/>
    <n v="10"/>
    <n v="49690"/>
    <n v="11003.57"/>
  </r>
  <r>
    <x v="183"/>
    <s v="Neha Mehta"/>
    <x v="2"/>
    <x v="13"/>
    <x v="4"/>
    <n v="2"/>
    <n v="1996"/>
    <n v="307.51"/>
  </r>
  <r>
    <x v="184"/>
    <s v="Priya Chauhan"/>
    <x v="1"/>
    <x v="10"/>
    <x v="5"/>
    <n v="5"/>
    <n v="86095"/>
    <n v="11856.77"/>
  </r>
  <r>
    <x v="185"/>
    <s v="Simran Kumar"/>
    <x v="4"/>
    <x v="0"/>
    <x v="0"/>
    <n v="9"/>
    <n v="294741"/>
    <n v="29292.7"/>
  </r>
  <r>
    <x v="186"/>
    <s v="Rohan Gupta"/>
    <x v="2"/>
    <x v="8"/>
    <x v="0"/>
    <n v="12"/>
    <n v="154068"/>
    <n v="18513.689999999999"/>
  </r>
  <r>
    <x v="3"/>
    <s v="Aditya Singh"/>
    <x v="0"/>
    <x v="7"/>
    <x v="0"/>
    <n v="10"/>
    <n v="20520"/>
    <n v="4293.54"/>
  </r>
  <r>
    <x v="187"/>
    <s v="Sneha Das"/>
    <x v="4"/>
    <x v="9"/>
    <x v="5"/>
    <n v="8"/>
    <n v="105888"/>
    <n v="22149.56"/>
  </r>
  <r>
    <x v="188"/>
    <s v="Priya Singh"/>
    <x v="3"/>
    <x v="1"/>
    <x v="1"/>
    <n v="11"/>
    <n v="35838"/>
    <n v="4836.17"/>
  </r>
  <r>
    <x v="148"/>
    <s v="Vikash Patel"/>
    <x v="0"/>
    <x v="0"/>
    <x v="0"/>
    <n v="8"/>
    <n v="211920"/>
    <n v="39700.129999999997"/>
  </r>
  <r>
    <x v="189"/>
    <s v="Sneha Sharma"/>
    <x v="0"/>
    <x v="8"/>
    <x v="0"/>
    <n v="9"/>
    <n v="93879"/>
    <n v="12464.25"/>
  </r>
  <r>
    <x v="43"/>
    <s v="Aditya Patel"/>
    <x v="3"/>
    <x v="8"/>
    <x v="0"/>
    <n v="5"/>
    <n v="52570"/>
    <n v="9966.92"/>
  </r>
  <r>
    <x v="190"/>
    <s v="Vivaan Negi"/>
    <x v="0"/>
    <x v="14"/>
    <x v="3"/>
    <n v="7"/>
    <n v="1176"/>
    <n v="210.1"/>
  </r>
  <r>
    <x v="147"/>
    <s v="Simran Singh"/>
    <x v="0"/>
    <x v="1"/>
    <x v="1"/>
    <n v="4"/>
    <n v="8064"/>
    <n v="1474.51"/>
  </r>
  <r>
    <x v="191"/>
    <s v="Aditya Mehta"/>
    <x v="2"/>
    <x v="9"/>
    <x v="5"/>
    <n v="2"/>
    <n v="19252"/>
    <n v="4755.3500000000004"/>
  </r>
  <r>
    <x v="159"/>
    <s v="Sneha Mehta"/>
    <x v="2"/>
    <x v="7"/>
    <x v="0"/>
    <n v="1"/>
    <n v="2829"/>
    <n v="566.64"/>
  </r>
  <r>
    <x v="192"/>
    <s v="Ankit Rawat"/>
    <x v="4"/>
    <x v="5"/>
    <x v="3"/>
    <n v="3"/>
    <n v="519"/>
    <n v="74.42"/>
  </r>
  <r>
    <x v="193"/>
    <s v="Priya Verma"/>
    <x v="4"/>
    <x v="11"/>
    <x v="4"/>
    <n v="6"/>
    <n v="9768"/>
    <n v="2092"/>
  </r>
  <r>
    <x v="63"/>
    <s v="Vikash Yadav"/>
    <x v="4"/>
    <x v="0"/>
    <x v="0"/>
    <n v="9"/>
    <n v="308061"/>
    <n v="44889.39"/>
  </r>
  <r>
    <x v="194"/>
    <s v="Meera Das"/>
    <x v="2"/>
    <x v="6"/>
    <x v="4"/>
    <n v="10"/>
    <n v="18150"/>
    <n v="2480.59"/>
  </r>
  <r>
    <x v="195"/>
    <s v="Neha Singh"/>
    <x v="4"/>
    <x v="6"/>
    <x v="4"/>
    <n v="6"/>
    <n v="14820"/>
    <n v="3623.61"/>
  </r>
  <r>
    <x v="190"/>
    <s v="Priya Mishra"/>
    <x v="0"/>
    <x v="2"/>
    <x v="2"/>
    <n v="2"/>
    <n v="1234"/>
    <n v="215.97"/>
  </r>
  <r>
    <x v="68"/>
    <s v="Pooja Mehta"/>
    <x v="2"/>
    <x v="1"/>
    <x v="1"/>
    <n v="12"/>
    <n v="34272"/>
    <n v="3286.24"/>
  </r>
  <r>
    <x v="8"/>
    <s v="Karan Joshi"/>
    <x v="4"/>
    <x v="12"/>
    <x v="0"/>
    <n v="6"/>
    <n v="330720"/>
    <n v="36592.410000000003"/>
  </r>
  <r>
    <x v="26"/>
    <s v="Ankit Mishra"/>
    <x v="0"/>
    <x v="4"/>
    <x v="0"/>
    <n v="4"/>
    <n v="3124"/>
    <n v="332.21"/>
  </r>
  <r>
    <x v="196"/>
    <s v="Vivaan Das"/>
    <x v="4"/>
    <x v="14"/>
    <x v="3"/>
    <n v="9"/>
    <n v="2151"/>
    <n v="495.22"/>
  </r>
  <r>
    <x v="197"/>
    <s v="Rohan Singh"/>
    <x v="1"/>
    <x v="6"/>
    <x v="4"/>
    <n v="10"/>
    <n v="17360"/>
    <n v="3151.39"/>
  </r>
  <r>
    <x v="174"/>
    <s v="Rahul Yadav"/>
    <x v="4"/>
    <x v="13"/>
    <x v="4"/>
    <n v="12"/>
    <n v="21348"/>
    <n v="4643.99"/>
  </r>
  <r>
    <x v="198"/>
    <s v="Aman Negi"/>
    <x v="1"/>
    <x v="12"/>
    <x v="0"/>
    <n v="7"/>
    <n v="398559"/>
    <n v="77711.710000000006"/>
  </r>
  <r>
    <x v="113"/>
    <s v="Aman Gupta"/>
    <x v="4"/>
    <x v="3"/>
    <x v="0"/>
    <n v="12"/>
    <n v="14628"/>
    <n v="1752.15"/>
  </r>
  <r>
    <x v="121"/>
    <s v="Meera Negi"/>
    <x v="3"/>
    <x v="6"/>
    <x v="4"/>
    <n v="4"/>
    <n v="10824"/>
    <n v="2114.06"/>
  </r>
  <r>
    <x v="89"/>
    <s v="Pooja Singh"/>
    <x v="4"/>
    <x v="11"/>
    <x v="4"/>
    <n v="5"/>
    <n v="21640"/>
    <n v="3581.29"/>
  </r>
  <r>
    <x v="199"/>
    <s v="Vivaan Das"/>
    <x v="2"/>
    <x v="11"/>
    <x v="4"/>
    <n v="10"/>
    <n v="23330"/>
    <n v="5328.81"/>
  </r>
  <r>
    <x v="200"/>
    <s v="Simran Mishra"/>
    <x v="2"/>
    <x v="13"/>
    <x v="4"/>
    <n v="6"/>
    <n v="9810"/>
    <n v="2342.92"/>
  </r>
  <r>
    <x v="7"/>
    <s v="Simran Singh"/>
    <x v="1"/>
    <x v="3"/>
    <x v="0"/>
    <n v="2"/>
    <n v="1256"/>
    <n v="158.72999999999999"/>
  </r>
  <r>
    <x v="183"/>
    <s v="Aarav Rawat"/>
    <x v="2"/>
    <x v="0"/>
    <x v="0"/>
    <n v="4"/>
    <n v="107128"/>
    <n v="24680.91"/>
  </r>
  <r>
    <x v="201"/>
    <s v="Aditya Joshi"/>
    <x v="0"/>
    <x v="10"/>
    <x v="5"/>
    <n v="9"/>
    <n v="100134"/>
    <n v="12024.32"/>
  </r>
  <r>
    <x v="202"/>
    <s v="Priya Chauhan"/>
    <x v="3"/>
    <x v="12"/>
    <x v="0"/>
    <n v="6"/>
    <n v="289476"/>
    <n v="64454.720000000001"/>
  </r>
  <r>
    <x v="203"/>
    <s v="Kavya Yadav"/>
    <x v="3"/>
    <x v="7"/>
    <x v="0"/>
    <n v="1"/>
    <n v="3150"/>
    <n v="743.27"/>
  </r>
  <r>
    <x v="204"/>
    <s v="Aarav Tiwari"/>
    <x v="0"/>
    <x v="11"/>
    <x v="4"/>
    <n v="12"/>
    <n v="60504"/>
    <n v="9454.49"/>
  </r>
  <r>
    <x v="184"/>
    <s v="Riya Yadav"/>
    <x v="1"/>
    <x v="12"/>
    <x v="0"/>
    <n v="5"/>
    <n v="260330"/>
    <n v="57778.61"/>
  </r>
  <r>
    <x v="166"/>
    <s v="Aman Gupta"/>
    <x v="0"/>
    <x v="14"/>
    <x v="3"/>
    <n v="7"/>
    <n v="546"/>
    <n v="115.72"/>
  </r>
  <r>
    <x v="205"/>
    <s v="Isha Negi"/>
    <x v="0"/>
    <x v="12"/>
    <x v="0"/>
    <n v="4"/>
    <n v="235024"/>
    <n v="44330.65"/>
  </r>
  <r>
    <x v="30"/>
    <s v="Simran Patel"/>
    <x v="3"/>
    <x v="0"/>
    <x v="0"/>
    <n v="8"/>
    <n v="252424"/>
    <n v="43197.1"/>
  </r>
  <r>
    <x v="206"/>
    <s v="Isha Joshi"/>
    <x v="4"/>
    <x v="2"/>
    <x v="2"/>
    <n v="3"/>
    <n v="1794"/>
    <n v="274.43"/>
  </r>
  <r>
    <x v="206"/>
    <s v="Aditya Mehta"/>
    <x v="3"/>
    <x v="5"/>
    <x v="3"/>
    <n v="7"/>
    <n v="889"/>
    <n v="171.53"/>
  </r>
  <r>
    <x v="207"/>
    <s v="Simran Mehta"/>
    <x v="3"/>
    <x v="0"/>
    <x v="0"/>
    <n v="9"/>
    <n v="268452"/>
    <n v="44628.99"/>
  </r>
  <r>
    <x v="92"/>
    <s v="Ananya Gupta"/>
    <x v="2"/>
    <x v="10"/>
    <x v="5"/>
    <n v="8"/>
    <n v="45704"/>
    <n v="8595.2800000000007"/>
  </r>
  <r>
    <x v="208"/>
    <s v="Arjun Chauhan"/>
    <x v="0"/>
    <x v="8"/>
    <x v="0"/>
    <n v="2"/>
    <n v="38596"/>
    <n v="4669.78"/>
  </r>
  <r>
    <x v="209"/>
    <s v="Riya Joshi"/>
    <x v="3"/>
    <x v="2"/>
    <x v="2"/>
    <n v="6"/>
    <n v="2616"/>
    <n v="229"/>
  </r>
  <r>
    <x v="210"/>
    <s v="Kavya Das"/>
    <x v="0"/>
    <x v="7"/>
    <x v="0"/>
    <n v="11"/>
    <n v="50666"/>
    <n v="12501.29"/>
  </r>
  <r>
    <x v="211"/>
    <s v="Sneha Sharma"/>
    <x v="2"/>
    <x v="11"/>
    <x v="4"/>
    <n v="3"/>
    <n v="5148"/>
    <n v="1038.49"/>
  </r>
  <r>
    <x v="102"/>
    <s v="Vivaan Joshi"/>
    <x v="0"/>
    <x v="4"/>
    <x v="0"/>
    <n v="1"/>
    <n v="2120"/>
    <n v="241.49"/>
  </r>
  <r>
    <x v="67"/>
    <s v="Vivaan Chauhan"/>
    <x v="3"/>
    <x v="14"/>
    <x v="3"/>
    <n v="7"/>
    <n v="1323"/>
    <n v="212.31"/>
  </r>
  <r>
    <x v="97"/>
    <s v="Vivaan Mishra"/>
    <x v="0"/>
    <x v="4"/>
    <x v="0"/>
    <n v="5"/>
    <n v="6155"/>
    <n v="1394.5"/>
  </r>
  <r>
    <x v="15"/>
    <s v="Pooja Tiwari"/>
    <x v="2"/>
    <x v="8"/>
    <x v="0"/>
    <n v="5"/>
    <n v="60390"/>
    <n v="13037.49"/>
  </r>
  <r>
    <x v="75"/>
    <s v="Rahul Negi"/>
    <x v="4"/>
    <x v="2"/>
    <x v="2"/>
    <n v="8"/>
    <n v="5560"/>
    <n v="765.26"/>
  </r>
  <r>
    <x v="212"/>
    <s v="Aditya Yadav"/>
    <x v="0"/>
    <x v="9"/>
    <x v="5"/>
    <n v="6"/>
    <n v="75042"/>
    <n v="9405.9500000000007"/>
  </r>
  <r>
    <x v="76"/>
    <s v="Rahul Mehta"/>
    <x v="3"/>
    <x v="0"/>
    <x v="0"/>
    <n v="7"/>
    <n v="222187"/>
    <n v="55361.599999999999"/>
  </r>
  <r>
    <x v="102"/>
    <s v="Ankit Gupta"/>
    <x v="2"/>
    <x v="8"/>
    <x v="0"/>
    <n v="2"/>
    <n v="21246"/>
    <n v="2884.07"/>
  </r>
  <r>
    <x v="213"/>
    <s v="Sneha Joshi"/>
    <x v="3"/>
    <x v="5"/>
    <x v="3"/>
    <n v="12"/>
    <n v="2268"/>
    <n v="245.69"/>
  </r>
  <r>
    <x v="213"/>
    <s v="Pooja Gupta"/>
    <x v="3"/>
    <x v="12"/>
    <x v="0"/>
    <n v="12"/>
    <n v="678624"/>
    <n v="125222.93"/>
  </r>
  <r>
    <x v="0"/>
    <s v="Neha Joshi"/>
    <x v="0"/>
    <x v="11"/>
    <x v="4"/>
    <n v="1"/>
    <n v="1814"/>
    <n v="352.1"/>
  </r>
  <r>
    <x v="214"/>
    <s v="Rohan Mishra"/>
    <x v="3"/>
    <x v="11"/>
    <x v="4"/>
    <n v="12"/>
    <n v="30120"/>
    <n v="7288.26"/>
  </r>
  <r>
    <x v="166"/>
    <s v="Aman Chauhan"/>
    <x v="0"/>
    <x v="1"/>
    <x v="1"/>
    <n v="8"/>
    <n v="6736"/>
    <n v="683.43"/>
  </r>
  <r>
    <x v="159"/>
    <s v="Vivaan Patel"/>
    <x v="4"/>
    <x v="8"/>
    <x v="0"/>
    <n v="6"/>
    <n v="123270"/>
    <n v="29758.54"/>
  </r>
  <r>
    <x v="170"/>
    <s v="Aditya Patel"/>
    <x v="3"/>
    <x v="1"/>
    <x v="1"/>
    <n v="8"/>
    <n v="17752"/>
    <n v="2542.84"/>
  </r>
  <r>
    <x v="215"/>
    <s v="Vikash Kumar"/>
    <x v="3"/>
    <x v="14"/>
    <x v="3"/>
    <n v="6"/>
    <n v="906"/>
    <n v="120.9"/>
  </r>
  <r>
    <x v="150"/>
    <s v="Neha Tiwari"/>
    <x v="3"/>
    <x v="12"/>
    <x v="0"/>
    <n v="12"/>
    <n v="613152"/>
    <n v="101070.43"/>
  </r>
  <r>
    <x v="154"/>
    <s v="Karan Patel"/>
    <x v="1"/>
    <x v="0"/>
    <x v="0"/>
    <n v="5"/>
    <n v="102645"/>
    <n v="20496.810000000001"/>
  </r>
  <r>
    <x v="216"/>
    <s v="Aditya Negi"/>
    <x v="1"/>
    <x v="2"/>
    <x v="2"/>
    <n v="8"/>
    <n v="4032"/>
    <n v="406.62"/>
  </r>
  <r>
    <x v="217"/>
    <s v="Priya Das"/>
    <x v="2"/>
    <x v="6"/>
    <x v="4"/>
    <n v="12"/>
    <n v="36276"/>
    <n v="9052.1200000000008"/>
  </r>
  <r>
    <x v="218"/>
    <s v="Ankit Mishra"/>
    <x v="1"/>
    <x v="2"/>
    <x v="2"/>
    <n v="2"/>
    <n v="1726"/>
    <n v="297.16000000000003"/>
  </r>
  <r>
    <x v="50"/>
    <s v="Ananya Mehta"/>
    <x v="2"/>
    <x v="2"/>
    <x v="2"/>
    <n v="12"/>
    <n v="12204"/>
    <n v="2299.34"/>
  </r>
  <r>
    <x v="202"/>
    <s v="Kavya Sharma"/>
    <x v="1"/>
    <x v="0"/>
    <x v="0"/>
    <n v="4"/>
    <n v="66200"/>
    <n v="7960.23"/>
  </r>
  <r>
    <x v="207"/>
    <s v="Riya Singh"/>
    <x v="4"/>
    <x v="14"/>
    <x v="3"/>
    <n v="10"/>
    <n v="1440"/>
    <n v="229.62"/>
  </r>
  <r>
    <x v="219"/>
    <s v="Kavya Mehta"/>
    <x v="2"/>
    <x v="6"/>
    <x v="4"/>
    <n v="2"/>
    <n v="2938"/>
    <n v="389.52"/>
  </r>
  <r>
    <x v="35"/>
    <s v="Priya Das"/>
    <x v="1"/>
    <x v="11"/>
    <x v="4"/>
    <n v="7"/>
    <n v="41363"/>
    <n v="3827.63"/>
  </r>
  <r>
    <x v="220"/>
    <s v="Riya Das"/>
    <x v="4"/>
    <x v="9"/>
    <x v="5"/>
    <n v="8"/>
    <n v="99808"/>
    <n v="13830.15"/>
  </r>
  <r>
    <x v="145"/>
    <s v="Vivaan Mishra"/>
    <x v="1"/>
    <x v="7"/>
    <x v="0"/>
    <n v="3"/>
    <n v="13032"/>
    <n v="2156.62"/>
  </r>
  <r>
    <x v="7"/>
    <s v="Priya Tiwari"/>
    <x v="0"/>
    <x v="14"/>
    <x v="3"/>
    <n v="3"/>
    <n v="381"/>
    <n v="41.14"/>
  </r>
  <r>
    <x v="181"/>
    <s v="Ankit Mishra"/>
    <x v="0"/>
    <x v="4"/>
    <x v="0"/>
    <n v="6"/>
    <n v="14640"/>
    <n v="3512.92"/>
  </r>
  <r>
    <x v="184"/>
    <s v="Vikash Singh"/>
    <x v="4"/>
    <x v="3"/>
    <x v="0"/>
    <n v="4"/>
    <n v="6400"/>
    <n v="1552.51"/>
  </r>
  <r>
    <x v="80"/>
    <s v="Rahul Patel"/>
    <x v="3"/>
    <x v="3"/>
    <x v="0"/>
    <n v="10"/>
    <n v="13920"/>
    <n v="1334.69"/>
  </r>
  <r>
    <x v="209"/>
    <s v="Meera Sharma"/>
    <x v="3"/>
    <x v="7"/>
    <x v="0"/>
    <n v="3"/>
    <n v="10695"/>
    <n v="2387.4499999999998"/>
  </r>
  <r>
    <x v="101"/>
    <s v="Vikash Das"/>
    <x v="0"/>
    <x v="0"/>
    <x v="0"/>
    <n v="1"/>
    <n v="33019"/>
    <n v="6969.45"/>
  </r>
  <r>
    <x v="70"/>
    <s v="Aarav Negi"/>
    <x v="0"/>
    <x v="11"/>
    <x v="4"/>
    <n v="10"/>
    <n v="46120"/>
    <n v="8535.82"/>
  </r>
  <r>
    <x v="187"/>
    <s v="Kavya Kumar"/>
    <x v="3"/>
    <x v="14"/>
    <x v="3"/>
    <n v="5"/>
    <n v="1070"/>
    <n v="259.61"/>
  </r>
  <r>
    <x v="13"/>
    <s v="Vivaan Singh"/>
    <x v="2"/>
    <x v="10"/>
    <x v="5"/>
    <n v="5"/>
    <n v="62150"/>
    <n v="5743"/>
  </r>
  <r>
    <x v="148"/>
    <s v="Isha Singh"/>
    <x v="3"/>
    <x v="10"/>
    <x v="5"/>
    <n v="8"/>
    <n v="100872"/>
    <n v="11568.4"/>
  </r>
  <r>
    <x v="42"/>
    <s v="Ananya Rawat"/>
    <x v="1"/>
    <x v="13"/>
    <x v="4"/>
    <n v="12"/>
    <n v="13836"/>
    <n v="2833.81"/>
  </r>
  <r>
    <x v="179"/>
    <s v="Priya Kumar"/>
    <x v="2"/>
    <x v="11"/>
    <x v="4"/>
    <n v="6"/>
    <n v="32508"/>
    <n v="5704.53"/>
  </r>
  <r>
    <x v="144"/>
    <s v="Arjun Sharma"/>
    <x v="1"/>
    <x v="0"/>
    <x v="0"/>
    <n v="5"/>
    <n v="133660"/>
    <n v="16326.06"/>
  </r>
  <r>
    <x v="9"/>
    <s v="Rahul Mishra"/>
    <x v="0"/>
    <x v="10"/>
    <x v="5"/>
    <n v="10"/>
    <n v="118500"/>
    <n v="14481.4"/>
  </r>
  <r>
    <x v="90"/>
    <s v="Rahul Negi"/>
    <x v="2"/>
    <x v="6"/>
    <x v="4"/>
    <n v="10"/>
    <n v="24800"/>
    <n v="2784.34"/>
  </r>
  <r>
    <x v="221"/>
    <s v="Aditya Rawat"/>
    <x v="1"/>
    <x v="9"/>
    <x v="5"/>
    <n v="8"/>
    <n v="72440"/>
    <n v="11920.22"/>
  </r>
  <r>
    <x v="78"/>
    <s v="Vivaan Sharma"/>
    <x v="1"/>
    <x v="9"/>
    <x v="5"/>
    <n v="4"/>
    <n v="30096"/>
    <n v="5392.26"/>
  </r>
  <r>
    <x v="53"/>
    <s v="Ankit Mehta"/>
    <x v="2"/>
    <x v="9"/>
    <x v="5"/>
    <n v="10"/>
    <n v="147190"/>
    <n v="28603.21"/>
  </r>
  <r>
    <x v="222"/>
    <s v="Vikash Yadav"/>
    <x v="4"/>
    <x v="13"/>
    <x v="4"/>
    <n v="2"/>
    <n v="2764"/>
    <n v="284.05"/>
  </r>
  <r>
    <x v="223"/>
    <s v="Vivaan Patel"/>
    <x v="3"/>
    <x v="11"/>
    <x v="4"/>
    <n v="7"/>
    <n v="29379"/>
    <n v="2576.2800000000002"/>
  </r>
  <r>
    <x v="154"/>
    <s v="Neha Mehta"/>
    <x v="1"/>
    <x v="4"/>
    <x v="0"/>
    <n v="6"/>
    <n v="9798"/>
    <n v="1264.55"/>
  </r>
  <r>
    <x v="100"/>
    <s v="Isha Das"/>
    <x v="3"/>
    <x v="11"/>
    <x v="4"/>
    <n v="9"/>
    <n v="31419"/>
    <n v="6921.7"/>
  </r>
  <r>
    <x v="113"/>
    <s v="Priya Mehta"/>
    <x v="3"/>
    <x v="0"/>
    <x v="0"/>
    <n v="3"/>
    <n v="45504"/>
    <n v="6687.43"/>
  </r>
  <r>
    <x v="223"/>
    <s v="Neha Mehta"/>
    <x v="0"/>
    <x v="11"/>
    <x v="4"/>
    <n v="3"/>
    <n v="8490"/>
    <n v="1548.73"/>
  </r>
  <r>
    <x v="118"/>
    <s v="Kavya Mehta"/>
    <x v="3"/>
    <x v="12"/>
    <x v="0"/>
    <n v="1"/>
    <n v="49490"/>
    <n v="9962.86"/>
  </r>
  <r>
    <x v="224"/>
    <s v="Isha Joshi"/>
    <x v="1"/>
    <x v="7"/>
    <x v="0"/>
    <n v="10"/>
    <n v="19450"/>
    <n v="2640.42"/>
  </r>
  <r>
    <x v="225"/>
    <s v="Meera Joshi"/>
    <x v="0"/>
    <x v="10"/>
    <x v="5"/>
    <n v="10"/>
    <n v="171130"/>
    <n v="38203.46"/>
  </r>
  <r>
    <x v="130"/>
    <s v="Meera Gupta"/>
    <x v="2"/>
    <x v="13"/>
    <x v="4"/>
    <n v="9"/>
    <n v="14310"/>
    <n v="2336.4499999999998"/>
  </r>
  <r>
    <x v="27"/>
    <s v="Arjun Rawat"/>
    <x v="1"/>
    <x v="13"/>
    <x v="4"/>
    <n v="1"/>
    <n v="1254"/>
    <n v="170.93"/>
  </r>
  <r>
    <x v="17"/>
    <s v="Isha Negi"/>
    <x v="0"/>
    <x v="3"/>
    <x v="0"/>
    <n v="12"/>
    <n v="20508"/>
    <n v="3834.47"/>
  </r>
  <r>
    <x v="49"/>
    <s v="Vivaan Patel"/>
    <x v="0"/>
    <x v="1"/>
    <x v="1"/>
    <n v="10"/>
    <n v="30650"/>
    <n v="3637.61"/>
  </r>
  <r>
    <x v="226"/>
    <s v="Aman Sharma"/>
    <x v="3"/>
    <x v="7"/>
    <x v="0"/>
    <n v="9"/>
    <n v="35226"/>
    <n v="3703.02"/>
  </r>
  <r>
    <x v="227"/>
    <s v="Priya Rawat"/>
    <x v="2"/>
    <x v="2"/>
    <x v="2"/>
    <n v="2"/>
    <n v="990"/>
    <n v="82.39"/>
  </r>
  <r>
    <x v="228"/>
    <s v="Isha Tiwari"/>
    <x v="1"/>
    <x v="10"/>
    <x v="5"/>
    <n v="12"/>
    <n v="100080"/>
    <n v="14988.4"/>
  </r>
  <r>
    <x v="229"/>
    <s v="Simran Kumar"/>
    <x v="1"/>
    <x v="13"/>
    <x v="4"/>
    <n v="12"/>
    <n v="7524"/>
    <n v="1504.66"/>
  </r>
  <r>
    <x v="154"/>
    <s v="Priya Singh"/>
    <x v="3"/>
    <x v="8"/>
    <x v="0"/>
    <n v="11"/>
    <n v="260425"/>
    <n v="44098.06"/>
  </r>
  <r>
    <x v="230"/>
    <s v="Vikash Patel"/>
    <x v="2"/>
    <x v="6"/>
    <x v="4"/>
    <n v="9"/>
    <n v="23418"/>
    <n v="4048.19"/>
  </r>
  <r>
    <x v="231"/>
    <s v="Aman Gupta"/>
    <x v="1"/>
    <x v="4"/>
    <x v="0"/>
    <n v="4"/>
    <n v="4284"/>
    <n v="749.16"/>
  </r>
  <r>
    <x v="124"/>
    <s v="Priya Negi"/>
    <x v="2"/>
    <x v="2"/>
    <x v="2"/>
    <n v="4"/>
    <n v="4024"/>
    <n v="804.19"/>
  </r>
  <r>
    <x v="186"/>
    <s v="Meera Das"/>
    <x v="1"/>
    <x v="14"/>
    <x v="3"/>
    <n v="12"/>
    <n v="1440"/>
    <n v="185.65"/>
  </r>
  <r>
    <x v="232"/>
    <s v="Rohan Gupta"/>
    <x v="3"/>
    <x v="10"/>
    <x v="5"/>
    <n v="7"/>
    <n v="74578"/>
    <n v="18069.02"/>
  </r>
  <r>
    <x v="58"/>
    <s v="Sneha Das"/>
    <x v="4"/>
    <x v="3"/>
    <x v="0"/>
    <n v="12"/>
    <n v="5532"/>
    <n v="768.29"/>
  </r>
  <r>
    <x v="233"/>
    <s v="Riya Gupta"/>
    <x v="1"/>
    <x v="2"/>
    <x v="2"/>
    <n v="8"/>
    <n v="4152"/>
    <n v="474.79"/>
  </r>
  <r>
    <x v="154"/>
    <s v="Meera Kumar"/>
    <x v="0"/>
    <x v="2"/>
    <x v="2"/>
    <n v="5"/>
    <n v="2200"/>
    <n v="216.85"/>
  </r>
  <r>
    <x v="128"/>
    <s v="Aman Sharma"/>
    <x v="0"/>
    <x v="12"/>
    <x v="0"/>
    <n v="11"/>
    <n v="686411"/>
    <n v="81246.48"/>
  </r>
  <r>
    <x v="196"/>
    <s v="Rohan Sharma"/>
    <x v="4"/>
    <x v="10"/>
    <x v="5"/>
    <n v="6"/>
    <n v="100518"/>
    <n v="16113.91"/>
  </r>
  <r>
    <x v="123"/>
    <s v="Kavya Negi"/>
    <x v="1"/>
    <x v="6"/>
    <x v="4"/>
    <n v="3"/>
    <n v="8598"/>
    <n v="1642.15"/>
  </r>
  <r>
    <x v="234"/>
    <s v="Vivaan Tiwari"/>
    <x v="0"/>
    <x v="4"/>
    <x v="0"/>
    <n v="5"/>
    <n v="5785"/>
    <n v="743.49"/>
  </r>
  <r>
    <x v="235"/>
    <s v="Vivaan Tiwari"/>
    <x v="0"/>
    <x v="1"/>
    <x v="1"/>
    <n v="10"/>
    <n v="16510"/>
    <n v="2822.81"/>
  </r>
  <r>
    <x v="236"/>
    <s v="Neha Chauhan"/>
    <x v="1"/>
    <x v="10"/>
    <x v="5"/>
    <n v="3"/>
    <n v="16785"/>
    <n v="4188.18"/>
  </r>
  <r>
    <x v="237"/>
    <s v="Aarav Gupta"/>
    <x v="2"/>
    <x v="7"/>
    <x v="0"/>
    <n v="12"/>
    <n v="38052"/>
    <n v="8715.67"/>
  </r>
  <r>
    <x v="238"/>
    <s v="Riya Mehta"/>
    <x v="1"/>
    <x v="5"/>
    <x v="3"/>
    <n v="2"/>
    <n v="330"/>
    <n v="42.36"/>
  </r>
  <r>
    <x v="18"/>
    <s v="Karan Chauhan"/>
    <x v="2"/>
    <x v="6"/>
    <x v="4"/>
    <n v="3"/>
    <n v="9795"/>
    <n v="1562.92"/>
  </r>
  <r>
    <x v="239"/>
    <s v="Rahul Sharma"/>
    <x v="4"/>
    <x v="8"/>
    <x v="0"/>
    <n v="3"/>
    <n v="69111"/>
    <n v="13145.5"/>
  </r>
  <r>
    <x v="197"/>
    <s v="Karan Singh"/>
    <x v="3"/>
    <x v="11"/>
    <x v="4"/>
    <n v="5"/>
    <n v="29255"/>
    <n v="5694.43"/>
  </r>
  <r>
    <x v="113"/>
    <s v="Simran Joshi"/>
    <x v="4"/>
    <x v="13"/>
    <x v="4"/>
    <n v="11"/>
    <n v="14630"/>
    <n v="3227.21"/>
  </r>
  <r>
    <x v="240"/>
    <s v="Rohan Negi"/>
    <x v="3"/>
    <x v="10"/>
    <x v="5"/>
    <n v="11"/>
    <n v="72182"/>
    <n v="8042"/>
  </r>
  <r>
    <x v="241"/>
    <s v="Aman Negi"/>
    <x v="0"/>
    <x v="6"/>
    <x v="4"/>
    <n v="4"/>
    <n v="4908"/>
    <n v="610.23"/>
  </r>
  <r>
    <x v="117"/>
    <s v="Ananya Yadav"/>
    <x v="0"/>
    <x v="8"/>
    <x v="0"/>
    <n v="5"/>
    <n v="41870"/>
    <n v="5211.3100000000004"/>
  </r>
  <r>
    <x v="44"/>
    <s v="Rahul Rawat"/>
    <x v="0"/>
    <x v="12"/>
    <x v="0"/>
    <n v="11"/>
    <n v="537603"/>
    <n v="85541.86"/>
  </r>
  <r>
    <x v="116"/>
    <s v="Arjun Das"/>
    <x v="2"/>
    <x v="14"/>
    <x v="3"/>
    <n v="12"/>
    <n v="2964"/>
    <n v="393.82"/>
  </r>
  <r>
    <x v="149"/>
    <s v="Rohan Negi"/>
    <x v="3"/>
    <x v="8"/>
    <x v="0"/>
    <n v="10"/>
    <n v="152360"/>
    <n v="17864.490000000002"/>
  </r>
  <r>
    <x v="170"/>
    <s v="Riya Tiwari"/>
    <x v="0"/>
    <x v="9"/>
    <x v="5"/>
    <n v="12"/>
    <n v="167088"/>
    <n v="23979.84"/>
  </r>
  <r>
    <x v="229"/>
    <s v="Isha Mishra"/>
    <x v="1"/>
    <x v="11"/>
    <x v="4"/>
    <n v="9"/>
    <n v="26901"/>
    <n v="5636.19"/>
  </r>
  <r>
    <x v="91"/>
    <s v="Aditya Tiwari"/>
    <x v="3"/>
    <x v="14"/>
    <x v="3"/>
    <n v="8"/>
    <n v="1480"/>
    <n v="295.47000000000003"/>
  </r>
  <r>
    <x v="242"/>
    <s v="Karan Patel"/>
    <x v="3"/>
    <x v="0"/>
    <x v="0"/>
    <n v="1"/>
    <n v="29945"/>
    <n v="6991.89"/>
  </r>
  <r>
    <x v="21"/>
    <s v="Sneha Verma"/>
    <x v="2"/>
    <x v="7"/>
    <x v="0"/>
    <n v="3"/>
    <n v="10461"/>
    <n v="2356.4699999999998"/>
  </r>
  <r>
    <x v="19"/>
    <s v="Simran Negi"/>
    <x v="4"/>
    <x v="4"/>
    <x v="0"/>
    <n v="12"/>
    <n v="20328"/>
    <n v="3315.51"/>
  </r>
  <r>
    <x v="189"/>
    <s v="Meera Sharma"/>
    <x v="2"/>
    <x v="9"/>
    <x v="5"/>
    <n v="3"/>
    <n v="37227"/>
    <n v="5607.21"/>
  </r>
  <r>
    <x v="243"/>
    <s v="Neha Gupta"/>
    <x v="0"/>
    <x v="9"/>
    <x v="5"/>
    <n v="11"/>
    <n v="99539"/>
    <n v="20202.2"/>
  </r>
  <r>
    <x v="55"/>
    <s v="Pooja Joshi"/>
    <x v="1"/>
    <x v="2"/>
    <x v="2"/>
    <n v="4"/>
    <n v="3568"/>
    <n v="329.74"/>
  </r>
  <r>
    <x v="155"/>
    <s v="Aditya Tiwari"/>
    <x v="1"/>
    <x v="0"/>
    <x v="0"/>
    <n v="9"/>
    <n v="125766"/>
    <n v="30042.87"/>
  </r>
  <r>
    <x v="229"/>
    <s v="Rohan Chauhan"/>
    <x v="0"/>
    <x v="12"/>
    <x v="0"/>
    <n v="5"/>
    <n v="291985"/>
    <n v="32292.61"/>
  </r>
  <r>
    <x v="244"/>
    <s v="Neha Negi"/>
    <x v="1"/>
    <x v="2"/>
    <x v="2"/>
    <n v="11"/>
    <n v="8030"/>
    <n v="1153.58"/>
  </r>
  <r>
    <x v="245"/>
    <s v="Riya Singh"/>
    <x v="2"/>
    <x v="10"/>
    <x v="5"/>
    <n v="2"/>
    <n v="32370"/>
    <n v="7895.19"/>
  </r>
  <r>
    <x v="246"/>
    <s v="Riya Rawat"/>
    <x v="2"/>
    <x v="13"/>
    <x v="4"/>
    <n v="6"/>
    <n v="4452"/>
    <n v="491.24"/>
  </r>
  <r>
    <x v="20"/>
    <s v="Aarav Gupta"/>
    <x v="0"/>
    <x v="7"/>
    <x v="0"/>
    <n v="12"/>
    <n v="31488"/>
    <n v="6987.81"/>
  </r>
  <r>
    <x v="247"/>
    <s v="Neha Mishra"/>
    <x v="1"/>
    <x v="1"/>
    <x v="1"/>
    <n v="12"/>
    <n v="35160"/>
    <n v="5347.9"/>
  </r>
  <r>
    <x v="119"/>
    <s v="Karan Tiwari"/>
    <x v="3"/>
    <x v="4"/>
    <x v="0"/>
    <n v="8"/>
    <n v="9664"/>
    <n v="1027.97"/>
  </r>
  <r>
    <x v="239"/>
    <s v="Aarav Kumar"/>
    <x v="4"/>
    <x v="12"/>
    <x v="0"/>
    <n v="11"/>
    <n v="646107"/>
    <n v="119230.61"/>
  </r>
  <r>
    <x v="248"/>
    <s v="Isha Das"/>
    <x v="3"/>
    <x v="0"/>
    <x v="0"/>
    <n v="2"/>
    <n v="62924"/>
    <n v="5393.09"/>
  </r>
  <r>
    <x v="249"/>
    <s v="Neha Negi"/>
    <x v="2"/>
    <x v="13"/>
    <x v="4"/>
    <n v="1"/>
    <n v="1001"/>
    <n v="206.1"/>
  </r>
  <r>
    <x v="250"/>
    <s v="Vivaan Singh"/>
    <x v="2"/>
    <x v="14"/>
    <x v="3"/>
    <n v="4"/>
    <n v="972"/>
    <n v="220.48"/>
  </r>
  <r>
    <x v="136"/>
    <s v="Meera Patel"/>
    <x v="2"/>
    <x v="3"/>
    <x v="0"/>
    <n v="4"/>
    <n v="7192"/>
    <n v="1279.74"/>
  </r>
  <r>
    <x v="251"/>
    <s v="Rohan Das"/>
    <x v="2"/>
    <x v="13"/>
    <x v="4"/>
    <n v="6"/>
    <n v="5910"/>
    <n v="775.98"/>
  </r>
  <r>
    <x v="66"/>
    <s v="Riya Patel"/>
    <x v="4"/>
    <x v="4"/>
    <x v="0"/>
    <n v="7"/>
    <n v="7805"/>
    <n v="989.49"/>
  </r>
  <r>
    <x v="236"/>
    <s v="Vivaan Joshi"/>
    <x v="0"/>
    <x v="1"/>
    <x v="1"/>
    <n v="11"/>
    <n v="26939"/>
    <n v="4700.71"/>
  </r>
  <r>
    <x v="210"/>
    <s v="Pooja Rawat"/>
    <x v="2"/>
    <x v="1"/>
    <x v="1"/>
    <n v="7"/>
    <n v="19936"/>
    <n v="2675.11"/>
  </r>
  <r>
    <x v="111"/>
    <s v="Kavya Kumar"/>
    <x v="1"/>
    <x v="3"/>
    <x v="0"/>
    <n v="7"/>
    <n v="4732"/>
    <n v="985.44"/>
  </r>
  <r>
    <x v="173"/>
    <s v="Vivaan Mehta"/>
    <x v="4"/>
    <x v="3"/>
    <x v="0"/>
    <n v="12"/>
    <n v="7140"/>
    <n v="1549.25"/>
  </r>
  <r>
    <x v="59"/>
    <s v="Aman Gupta"/>
    <x v="2"/>
    <x v="10"/>
    <x v="5"/>
    <n v="9"/>
    <n v="123147"/>
    <n v="12658.99"/>
  </r>
  <r>
    <x v="252"/>
    <s v="Ananya Verma"/>
    <x v="1"/>
    <x v="8"/>
    <x v="0"/>
    <n v="11"/>
    <n v="116490"/>
    <n v="27582.32"/>
  </r>
  <r>
    <x v="21"/>
    <s v="Isha Patel"/>
    <x v="2"/>
    <x v="2"/>
    <x v="2"/>
    <n v="4"/>
    <n v="1408"/>
    <n v="176.9"/>
  </r>
  <r>
    <x v="118"/>
    <s v="Meera Yadav"/>
    <x v="0"/>
    <x v="13"/>
    <x v="4"/>
    <n v="2"/>
    <n v="1770"/>
    <n v="383.72"/>
  </r>
  <r>
    <x v="253"/>
    <s v="Priya Gupta"/>
    <x v="4"/>
    <x v="14"/>
    <x v="3"/>
    <n v="4"/>
    <n v="688"/>
    <n v="79.47"/>
  </r>
  <r>
    <x v="162"/>
    <s v="Kavya Tiwari"/>
    <x v="0"/>
    <x v="4"/>
    <x v="0"/>
    <n v="4"/>
    <n v="9880"/>
    <n v="2035.78"/>
  </r>
  <r>
    <x v="128"/>
    <s v="Aman Mehta"/>
    <x v="4"/>
    <x v="2"/>
    <x v="2"/>
    <n v="10"/>
    <n v="10200"/>
    <n v="1170.6300000000001"/>
  </r>
  <r>
    <x v="254"/>
    <s v="Ananya Gupta"/>
    <x v="2"/>
    <x v="11"/>
    <x v="4"/>
    <n v="5"/>
    <n v="21590"/>
    <n v="3438.48"/>
  </r>
  <r>
    <x v="46"/>
    <s v="Kavya Chauhan"/>
    <x v="2"/>
    <x v="8"/>
    <x v="0"/>
    <n v="9"/>
    <n v="218646"/>
    <n v="34812.97"/>
  </r>
  <r>
    <x v="255"/>
    <s v="Vivaan Patel"/>
    <x v="4"/>
    <x v="6"/>
    <x v="4"/>
    <n v="4"/>
    <n v="10872"/>
    <n v="1448.11"/>
  </r>
  <r>
    <x v="165"/>
    <s v="Meera Patel"/>
    <x v="1"/>
    <x v="2"/>
    <x v="2"/>
    <n v="3"/>
    <n v="948"/>
    <n v="117.87"/>
  </r>
  <r>
    <x v="256"/>
    <s v="Neha Patel"/>
    <x v="1"/>
    <x v="3"/>
    <x v="0"/>
    <n v="3"/>
    <n v="2103"/>
    <n v="286.17"/>
  </r>
  <r>
    <x v="12"/>
    <s v="Priya Gupta"/>
    <x v="2"/>
    <x v="9"/>
    <x v="5"/>
    <n v="9"/>
    <n v="132525"/>
    <n v="31857.55"/>
  </r>
  <r>
    <x v="54"/>
    <s v="Rahul Yadav"/>
    <x v="2"/>
    <x v="2"/>
    <x v="2"/>
    <n v="11"/>
    <n v="11627"/>
    <n v="1899.87"/>
  </r>
  <r>
    <x v="104"/>
    <s v="Riya Das"/>
    <x v="0"/>
    <x v="7"/>
    <x v="0"/>
    <n v="3"/>
    <n v="14400"/>
    <n v="1602.55"/>
  </r>
  <r>
    <x v="257"/>
    <s v="Vivaan Chauhan"/>
    <x v="2"/>
    <x v="14"/>
    <x v="3"/>
    <n v="1"/>
    <n v="69"/>
    <n v="16.61"/>
  </r>
  <r>
    <x v="177"/>
    <s v="Rohan Sharma"/>
    <x v="4"/>
    <x v="10"/>
    <x v="5"/>
    <n v="3"/>
    <n v="45999"/>
    <n v="5489.69"/>
  </r>
  <r>
    <x v="93"/>
    <s v="Isha Tiwari"/>
    <x v="1"/>
    <x v="14"/>
    <x v="3"/>
    <n v="8"/>
    <n v="1160"/>
    <n v="104.72"/>
  </r>
  <r>
    <x v="231"/>
    <s v="Riya Rawat"/>
    <x v="1"/>
    <x v="1"/>
    <x v="1"/>
    <n v="8"/>
    <n v="6112"/>
    <n v="495.83"/>
  </r>
  <r>
    <x v="258"/>
    <s v="Ankit Sharma"/>
    <x v="0"/>
    <x v="12"/>
    <x v="0"/>
    <n v="9"/>
    <n v="486018"/>
    <n v="83145.759999999995"/>
  </r>
  <r>
    <x v="136"/>
    <s v="Rahul Verma"/>
    <x v="1"/>
    <x v="13"/>
    <x v="4"/>
    <n v="12"/>
    <n v="16572"/>
    <n v="3596.93"/>
  </r>
  <r>
    <x v="259"/>
    <s v="Simran Gupta"/>
    <x v="1"/>
    <x v="14"/>
    <x v="3"/>
    <n v="3"/>
    <n v="333"/>
    <n v="37.51"/>
  </r>
  <r>
    <x v="260"/>
    <s v="Neha Negi"/>
    <x v="3"/>
    <x v="3"/>
    <x v="0"/>
    <n v="7"/>
    <n v="3227"/>
    <n v="462.81"/>
  </r>
  <r>
    <x v="188"/>
    <s v="Aditya Das"/>
    <x v="4"/>
    <x v="4"/>
    <x v="0"/>
    <n v="12"/>
    <n v="11544"/>
    <n v="1512.21"/>
  </r>
  <r>
    <x v="29"/>
    <s v="Neha Mehta"/>
    <x v="3"/>
    <x v="11"/>
    <x v="4"/>
    <n v="1"/>
    <n v="1965"/>
    <n v="292.58"/>
  </r>
  <r>
    <x v="27"/>
    <s v="Aditya Negi"/>
    <x v="1"/>
    <x v="12"/>
    <x v="0"/>
    <n v="11"/>
    <n v="498399"/>
    <n v="99422.46"/>
  </r>
  <r>
    <x v="261"/>
    <s v="Arjun Tiwari"/>
    <x v="0"/>
    <x v="1"/>
    <x v="1"/>
    <n v="6"/>
    <n v="18102"/>
    <n v="4455.7299999999996"/>
  </r>
  <r>
    <x v="20"/>
    <s v="Meera Negi"/>
    <x v="0"/>
    <x v="6"/>
    <x v="4"/>
    <n v="1"/>
    <n v="2141"/>
    <n v="248.23"/>
  </r>
  <r>
    <x v="98"/>
    <s v="Meera Das"/>
    <x v="1"/>
    <x v="12"/>
    <x v="0"/>
    <n v="2"/>
    <n v="108374"/>
    <n v="25238.46"/>
  </r>
  <r>
    <x v="262"/>
    <s v="Meera Singh"/>
    <x v="2"/>
    <x v="7"/>
    <x v="0"/>
    <n v="6"/>
    <n v="5568"/>
    <n v="1355.53"/>
  </r>
  <r>
    <x v="167"/>
    <s v="Meera Kumar"/>
    <x v="3"/>
    <x v="13"/>
    <x v="4"/>
    <n v="7"/>
    <n v="4599"/>
    <n v="601.9"/>
  </r>
  <r>
    <x v="238"/>
    <s v="Rohan Chauhan"/>
    <x v="1"/>
    <x v="13"/>
    <x v="4"/>
    <n v="7"/>
    <n v="11249"/>
    <n v="1534.3"/>
  </r>
  <r>
    <x v="263"/>
    <s v="Ananya Sharma"/>
    <x v="0"/>
    <x v="2"/>
    <x v="2"/>
    <n v="2"/>
    <n v="1624"/>
    <n v="335.73"/>
  </r>
  <r>
    <x v="168"/>
    <s v="Isha Patel"/>
    <x v="0"/>
    <x v="10"/>
    <x v="5"/>
    <n v="4"/>
    <n v="24980"/>
    <n v="3444.76"/>
  </r>
  <r>
    <x v="264"/>
    <s v="Sneha Negi"/>
    <x v="3"/>
    <x v="11"/>
    <x v="4"/>
    <n v="6"/>
    <n v="8652"/>
    <n v="1624.85"/>
  </r>
  <r>
    <x v="106"/>
    <s v="Meera Das"/>
    <x v="4"/>
    <x v="8"/>
    <x v="0"/>
    <n v="9"/>
    <n v="182709"/>
    <n v="28030.15"/>
  </r>
  <r>
    <x v="40"/>
    <s v="Aditya Verma"/>
    <x v="1"/>
    <x v="0"/>
    <x v="0"/>
    <n v="10"/>
    <n v="216780"/>
    <n v="46752.81"/>
  </r>
  <r>
    <x v="14"/>
    <s v="Priya Joshi"/>
    <x v="1"/>
    <x v="7"/>
    <x v="0"/>
    <n v="7"/>
    <n v="14441"/>
    <n v="2971.11"/>
  </r>
  <r>
    <x v="23"/>
    <s v="Vikash Verma"/>
    <x v="4"/>
    <x v="0"/>
    <x v="0"/>
    <n v="1"/>
    <n v="22101"/>
    <n v="3439.03"/>
  </r>
  <r>
    <x v="47"/>
    <s v="Riya Mehta"/>
    <x v="3"/>
    <x v="0"/>
    <x v="0"/>
    <n v="3"/>
    <n v="78366"/>
    <n v="12248.87"/>
  </r>
  <r>
    <x v="34"/>
    <s v="Aditya Patel"/>
    <x v="3"/>
    <x v="0"/>
    <x v="0"/>
    <n v="1"/>
    <n v="14936"/>
    <n v="2093.5100000000002"/>
  </r>
  <r>
    <x v="265"/>
    <s v="Pooja Rawat"/>
    <x v="0"/>
    <x v="11"/>
    <x v="4"/>
    <n v="6"/>
    <n v="26130"/>
    <n v="2145.2199999999998"/>
  </r>
  <r>
    <x v="72"/>
    <s v="Rahul Das"/>
    <x v="4"/>
    <x v="2"/>
    <x v="2"/>
    <n v="9"/>
    <n v="4932"/>
    <n v="874.11"/>
  </r>
  <r>
    <x v="40"/>
    <s v="Kavya Singh"/>
    <x v="3"/>
    <x v="7"/>
    <x v="0"/>
    <n v="3"/>
    <n v="9006"/>
    <n v="1181.52"/>
  </r>
  <r>
    <x v="30"/>
    <s v="Kavya Chauhan"/>
    <x v="2"/>
    <x v="7"/>
    <x v="0"/>
    <n v="7"/>
    <n v="21420"/>
    <n v="3247"/>
  </r>
  <r>
    <x v="266"/>
    <s v="Kavya Patel"/>
    <x v="1"/>
    <x v="8"/>
    <x v="0"/>
    <n v="5"/>
    <n v="80400"/>
    <n v="16285.25"/>
  </r>
  <r>
    <x v="267"/>
    <s v="Aarav Rawat"/>
    <x v="0"/>
    <x v="4"/>
    <x v="0"/>
    <n v="8"/>
    <n v="5752"/>
    <n v="592.65"/>
  </r>
  <r>
    <x v="268"/>
    <s v="Priya Negi"/>
    <x v="4"/>
    <x v="13"/>
    <x v="4"/>
    <n v="10"/>
    <n v="12780"/>
    <n v="2769.34"/>
  </r>
  <r>
    <x v="269"/>
    <s v="Priya Patel"/>
    <x v="0"/>
    <x v="10"/>
    <x v="5"/>
    <n v="11"/>
    <n v="162118"/>
    <n v="16721.04"/>
  </r>
  <r>
    <x v="82"/>
    <s v="Neha Joshi"/>
    <x v="3"/>
    <x v="4"/>
    <x v="0"/>
    <n v="8"/>
    <n v="9144"/>
    <n v="1007.65"/>
  </r>
  <r>
    <x v="127"/>
    <s v="Meera Chauhan"/>
    <x v="3"/>
    <x v="2"/>
    <x v="2"/>
    <n v="12"/>
    <n v="11376"/>
    <n v="1859.65"/>
  </r>
  <r>
    <x v="128"/>
    <s v="Neha Joshi"/>
    <x v="2"/>
    <x v="8"/>
    <x v="0"/>
    <n v="7"/>
    <n v="120288"/>
    <n v="26319.5"/>
  </r>
  <r>
    <x v="150"/>
    <s v="Riya Singh"/>
    <x v="1"/>
    <x v="6"/>
    <x v="4"/>
    <n v="10"/>
    <n v="20180"/>
    <n v="3646.09"/>
  </r>
  <r>
    <x v="11"/>
    <s v="Sneha Yadav"/>
    <x v="4"/>
    <x v="11"/>
    <x v="4"/>
    <n v="9"/>
    <n v="12780"/>
    <n v="3092.9"/>
  </r>
  <r>
    <x v="70"/>
    <s v="Pooja Das"/>
    <x v="0"/>
    <x v="9"/>
    <x v="5"/>
    <n v="5"/>
    <n v="25665"/>
    <n v="5626.39"/>
  </r>
  <r>
    <x v="270"/>
    <s v="Rohan Yadav"/>
    <x v="1"/>
    <x v="7"/>
    <x v="0"/>
    <n v="11"/>
    <n v="36080"/>
    <n v="4370.8599999999997"/>
  </r>
  <r>
    <x v="41"/>
    <s v="Isha Negi"/>
    <x v="3"/>
    <x v="11"/>
    <x v="4"/>
    <n v="7"/>
    <n v="12635"/>
    <n v="1975.37"/>
  </r>
  <r>
    <x v="17"/>
    <s v="Pooja Mehta"/>
    <x v="1"/>
    <x v="10"/>
    <x v="5"/>
    <n v="9"/>
    <n v="119700"/>
    <n v="28368.22"/>
  </r>
  <r>
    <x v="57"/>
    <s v="Aditya Verma"/>
    <x v="0"/>
    <x v="11"/>
    <x v="4"/>
    <n v="6"/>
    <n v="33588"/>
    <n v="6077.73"/>
  </r>
  <r>
    <x v="38"/>
    <s v="Isha Sharma"/>
    <x v="1"/>
    <x v="1"/>
    <x v="1"/>
    <n v="11"/>
    <n v="23694"/>
    <n v="2565.5300000000002"/>
  </r>
  <r>
    <x v="242"/>
    <s v="Priya Chauhan"/>
    <x v="3"/>
    <x v="1"/>
    <x v="1"/>
    <n v="11"/>
    <n v="36839"/>
    <n v="5449.78"/>
  </r>
  <r>
    <x v="176"/>
    <s v="Simran Yadav"/>
    <x v="1"/>
    <x v="0"/>
    <x v="0"/>
    <n v="1"/>
    <n v="15231"/>
    <n v="1888.42"/>
  </r>
  <r>
    <x v="271"/>
    <s v="Sneha Joshi"/>
    <x v="4"/>
    <x v="14"/>
    <x v="3"/>
    <n v="10"/>
    <n v="2260"/>
    <n v="401.81"/>
  </r>
  <r>
    <x v="272"/>
    <s v="Rohan Joshi"/>
    <x v="1"/>
    <x v="9"/>
    <x v="5"/>
    <n v="11"/>
    <n v="150073"/>
    <n v="29620.560000000001"/>
  </r>
  <r>
    <x v="273"/>
    <s v="Aditya Verma"/>
    <x v="4"/>
    <x v="9"/>
    <x v="5"/>
    <n v="2"/>
    <n v="17680"/>
    <n v="2664.66"/>
  </r>
  <r>
    <x v="195"/>
    <s v="Karan Mehta"/>
    <x v="1"/>
    <x v="8"/>
    <x v="0"/>
    <n v="5"/>
    <n v="96205"/>
    <n v="15143.3"/>
  </r>
  <r>
    <x v="231"/>
    <s v="Sneha Joshi"/>
    <x v="3"/>
    <x v="8"/>
    <x v="0"/>
    <n v="8"/>
    <n v="89584"/>
    <n v="13839.67"/>
  </r>
  <r>
    <x v="274"/>
    <s v="Priya Das"/>
    <x v="2"/>
    <x v="3"/>
    <x v="0"/>
    <n v="1"/>
    <n v="1755"/>
    <n v="174.74"/>
  </r>
  <r>
    <x v="95"/>
    <s v="Riya Singh"/>
    <x v="2"/>
    <x v="1"/>
    <x v="1"/>
    <n v="3"/>
    <n v="5097"/>
    <n v="854.86"/>
  </r>
  <r>
    <x v="32"/>
    <s v="Neha Das"/>
    <x v="4"/>
    <x v="14"/>
    <x v="3"/>
    <n v="7"/>
    <n v="1176"/>
    <n v="140.43"/>
  </r>
  <r>
    <x v="275"/>
    <s v="Isha Tiwari"/>
    <x v="4"/>
    <x v="7"/>
    <x v="0"/>
    <n v="11"/>
    <n v="47740"/>
    <n v="7029.67"/>
  </r>
  <r>
    <x v="3"/>
    <s v="Karan Kumar"/>
    <x v="2"/>
    <x v="9"/>
    <x v="5"/>
    <n v="10"/>
    <n v="110370"/>
    <n v="16125.29"/>
  </r>
  <r>
    <x v="120"/>
    <s v="Riya Singh"/>
    <x v="3"/>
    <x v="11"/>
    <x v="4"/>
    <n v="12"/>
    <n v="20544"/>
    <n v="3659.9"/>
  </r>
  <r>
    <x v="223"/>
    <s v="Kavya Mehta"/>
    <x v="3"/>
    <x v="8"/>
    <x v="0"/>
    <n v="4"/>
    <n v="91972"/>
    <n v="9139.4699999999993"/>
  </r>
  <r>
    <x v="0"/>
    <s v="Meera Verma"/>
    <x v="1"/>
    <x v="8"/>
    <x v="0"/>
    <n v="10"/>
    <n v="207340"/>
    <n v="38134.480000000003"/>
  </r>
  <r>
    <x v="186"/>
    <s v="Ankit Tiwari"/>
    <x v="4"/>
    <x v="8"/>
    <x v="0"/>
    <n v="8"/>
    <n v="109224"/>
    <n v="23847.48"/>
  </r>
  <r>
    <x v="276"/>
    <s v="Arjun Kumar"/>
    <x v="3"/>
    <x v="5"/>
    <x v="3"/>
    <n v="2"/>
    <n v="504"/>
    <n v="51.8"/>
  </r>
  <r>
    <x v="62"/>
    <s v="Simran Rawat"/>
    <x v="0"/>
    <x v="0"/>
    <x v="0"/>
    <n v="3"/>
    <n v="72696"/>
    <n v="14385.39"/>
  </r>
  <r>
    <x v="277"/>
    <s v="Rahul Negi"/>
    <x v="1"/>
    <x v="5"/>
    <x v="3"/>
    <n v="3"/>
    <n v="681"/>
    <n v="98.9"/>
  </r>
  <r>
    <x v="278"/>
    <s v="Rahul Mehta"/>
    <x v="1"/>
    <x v="14"/>
    <x v="3"/>
    <n v="12"/>
    <n v="2580"/>
    <n v="614.6"/>
  </r>
  <r>
    <x v="141"/>
    <s v="Sneha Patel"/>
    <x v="2"/>
    <x v="9"/>
    <x v="5"/>
    <n v="5"/>
    <n v="31490"/>
    <n v="3520.79"/>
  </r>
  <r>
    <x v="201"/>
    <s v="Karan Mishra"/>
    <x v="4"/>
    <x v="13"/>
    <x v="4"/>
    <n v="6"/>
    <n v="3114"/>
    <n v="505.66"/>
  </r>
  <r>
    <x v="279"/>
    <s v="Kavya Rawat"/>
    <x v="3"/>
    <x v="14"/>
    <x v="3"/>
    <n v="9"/>
    <n v="1953"/>
    <n v="320.57"/>
  </r>
  <r>
    <x v="181"/>
    <s v="Meera Sharma"/>
    <x v="3"/>
    <x v="13"/>
    <x v="4"/>
    <n v="8"/>
    <n v="12000"/>
    <n v="1301.2"/>
  </r>
  <r>
    <x v="280"/>
    <s v="Ankit Singh"/>
    <x v="1"/>
    <x v="3"/>
    <x v="0"/>
    <n v="1"/>
    <n v="862"/>
    <n v="101.91"/>
  </r>
  <r>
    <x v="48"/>
    <s v="Riya Mehta"/>
    <x v="4"/>
    <x v="5"/>
    <x v="3"/>
    <n v="12"/>
    <n v="3324"/>
    <n v="698.73"/>
  </r>
  <r>
    <x v="239"/>
    <s v="Ananya Mehta"/>
    <x v="4"/>
    <x v="5"/>
    <x v="3"/>
    <n v="2"/>
    <n v="296"/>
    <n v="62.68"/>
  </r>
  <r>
    <x v="58"/>
    <s v="Pooja Verma"/>
    <x v="4"/>
    <x v="11"/>
    <x v="4"/>
    <n v="12"/>
    <n v="57780"/>
    <n v="9989.01"/>
  </r>
  <r>
    <x v="246"/>
    <s v="Vivaan Negi"/>
    <x v="2"/>
    <x v="11"/>
    <x v="4"/>
    <n v="4"/>
    <n v="14552"/>
    <n v="3328.3"/>
  </r>
  <r>
    <x v="281"/>
    <s v="Arjun Chauhan"/>
    <x v="3"/>
    <x v="8"/>
    <x v="0"/>
    <n v="2"/>
    <n v="44774"/>
    <n v="10168.15"/>
  </r>
  <r>
    <x v="282"/>
    <s v="Isha Das"/>
    <x v="4"/>
    <x v="4"/>
    <x v="0"/>
    <n v="12"/>
    <n v="20448"/>
    <n v="4031.38"/>
  </r>
  <r>
    <x v="283"/>
    <s v="Karan Chauhan"/>
    <x v="2"/>
    <x v="7"/>
    <x v="0"/>
    <n v="10"/>
    <n v="19400"/>
    <n v="4140.43"/>
  </r>
  <r>
    <x v="257"/>
    <s v="Riya Singh"/>
    <x v="0"/>
    <x v="5"/>
    <x v="3"/>
    <n v="6"/>
    <n v="1296"/>
    <n v="165.61"/>
  </r>
  <r>
    <x v="241"/>
    <s v="Simran Tiwari"/>
    <x v="1"/>
    <x v="2"/>
    <x v="2"/>
    <n v="5"/>
    <n v="2980"/>
    <n v="528.54999999999995"/>
  </r>
  <r>
    <x v="64"/>
    <s v="Pooja Tiwari"/>
    <x v="3"/>
    <x v="13"/>
    <x v="4"/>
    <n v="2"/>
    <n v="1554"/>
    <n v="378.67"/>
  </r>
  <r>
    <x v="257"/>
    <s v="Rohan Kumar"/>
    <x v="3"/>
    <x v="3"/>
    <x v="0"/>
    <n v="11"/>
    <n v="6149"/>
    <n v="1225.1400000000001"/>
  </r>
  <r>
    <x v="203"/>
    <s v="Neha Negi"/>
    <x v="1"/>
    <x v="2"/>
    <x v="2"/>
    <n v="6"/>
    <n v="6888"/>
    <n v="840.92"/>
  </r>
  <r>
    <x v="195"/>
    <s v="Neha Negi"/>
    <x v="0"/>
    <x v="5"/>
    <x v="3"/>
    <n v="11"/>
    <n v="1628"/>
    <n v="303.99"/>
  </r>
  <r>
    <x v="284"/>
    <s v="Vikash Yadav"/>
    <x v="2"/>
    <x v="1"/>
    <x v="1"/>
    <n v="2"/>
    <n v="4700"/>
    <n v="787.98"/>
  </r>
  <r>
    <x v="152"/>
    <s v="Aditya Yadav"/>
    <x v="1"/>
    <x v="9"/>
    <x v="5"/>
    <n v="8"/>
    <n v="74896"/>
    <n v="13401.32"/>
  </r>
  <r>
    <x v="48"/>
    <s v="Riya Rawat"/>
    <x v="2"/>
    <x v="1"/>
    <x v="1"/>
    <n v="11"/>
    <n v="23837"/>
    <n v="5351.84"/>
  </r>
  <r>
    <x v="93"/>
    <s v="Ankit Joshi"/>
    <x v="2"/>
    <x v="10"/>
    <x v="5"/>
    <n v="4"/>
    <n v="52420"/>
    <n v="6586.64"/>
  </r>
  <r>
    <x v="285"/>
    <s v="Priya Tiwari"/>
    <x v="2"/>
    <x v="5"/>
    <x v="3"/>
    <n v="3"/>
    <n v="672"/>
    <n v="151.13999999999999"/>
  </r>
  <r>
    <x v="11"/>
    <s v="Sneha Sharma"/>
    <x v="0"/>
    <x v="11"/>
    <x v="4"/>
    <n v="1"/>
    <n v="1576"/>
    <n v="152.76"/>
  </r>
  <r>
    <x v="7"/>
    <s v="Pooja Kumar"/>
    <x v="0"/>
    <x v="6"/>
    <x v="4"/>
    <n v="3"/>
    <n v="9021"/>
    <n v="1421.78"/>
  </r>
  <r>
    <x v="263"/>
    <s v="Vikash Verma"/>
    <x v="2"/>
    <x v="6"/>
    <x v="4"/>
    <n v="3"/>
    <n v="7308"/>
    <n v="782.15"/>
  </r>
  <r>
    <x v="15"/>
    <s v="Rahul Sharma"/>
    <x v="4"/>
    <x v="8"/>
    <x v="0"/>
    <n v="5"/>
    <n v="53500"/>
    <n v="7661.92"/>
  </r>
  <r>
    <x v="286"/>
    <s v="Aditya Yadav"/>
    <x v="3"/>
    <x v="1"/>
    <x v="1"/>
    <n v="5"/>
    <n v="8295"/>
    <n v="1268.8800000000001"/>
  </r>
  <r>
    <x v="287"/>
    <s v="Meera Kumar"/>
    <x v="0"/>
    <x v="12"/>
    <x v="0"/>
    <n v="4"/>
    <n v="242496"/>
    <n v="22612.65"/>
  </r>
  <r>
    <x v="271"/>
    <s v="Priya Mishra"/>
    <x v="4"/>
    <x v="1"/>
    <x v="1"/>
    <n v="8"/>
    <n v="5904"/>
    <n v="480.41"/>
  </r>
  <r>
    <x v="288"/>
    <s v="Aman Rawat"/>
    <x v="4"/>
    <x v="13"/>
    <x v="4"/>
    <n v="7"/>
    <n v="5390"/>
    <n v="868.92"/>
  </r>
  <r>
    <x v="235"/>
    <s v="Ankit Singh"/>
    <x v="3"/>
    <x v="2"/>
    <x v="2"/>
    <n v="2"/>
    <n v="810"/>
    <n v="107.95"/>
  </r>
  <r>
    <x v="143"/>
    <s v="Meera Sharma"/>
    <x v="2"/>
    <x v="11"/>
    <x v="4"/>
    <n v="3"/>
    <n v="7110"/>
    <n v="651.49"/>
  </r>
  <r>
    <x v="113"/>
    <s v="Karan Das"/>
    <x v="4"/>
    <x v="1"/>
    <x v="1"/>
    <n v="3"/>
    <n v="7506"/>
    <n v="1048.5999999999999"/>
  </r>
  <r>
    <x v="228"/>
    <s v="Aditya Tiwari"/>
    <x v="4"/>
    <x v="6"/>
    <x v="4"/>
    <n v="7"/>
    <n v="21084"/>
    <n v="4769.07"/>
  </r>
  <r>
    <x v="196"/>
    <s v="Pooja Joshi"/>
    <x v="4"/>
    <x v="7"/>
    <x v="0"/>
    <n v="2"/>
    <n v="7890"/>
    <n v="1102.71"/>
  </r>
  <r>
    <x v="204"/>
    <s v="Riya Patel"/>
    <x v="2"/>
    <x v="4"/>
    <x v="0"/>
    <n v="5"/>
    <n v="9100"/>
    <n v="858.33"/>
  </r>
  <r>
    <x v="289"/>
    <s v="Aarav Mishra"/>
    <x v="2"/>
    <x v="2"/>
    <x v="2"/>
    <n v="10"/>
    <n v="5910"/>
    <n v="1255.43"/>
  </r>
  <r>
    <x v="131"/>
    <s v="Simran Kumar"/>
    <x v="0"/>
    <x v="6"/>
    <x v="4"/>
    <n v="5"/>
    <n v="10205"/>
    <n v="1714.62"/>
  </r>
  <r>
    <x v="272"/>
    <s v="Aman Negi"/>
    <x v="0"/>
    <x v="3"/>
    <x v="0"/>
    <n v="11"/>
    <n v="4521"/>
    <n v="964.09"/>
  </r>
  <r>
    <x v="65"/>
    <s v="Aditya Mehta"/>
    <x v="4"/>
    <x v="0"/>
    <x v="0"/>
    <n v="4"/>
    <n v="113480"/>
    <n v="21388.03"/>
  </r>
  <r>
    <x v="258"/>
    <s v="Meera Rawat"/>
    <x v="2"/>
    <x v="8"/>
    <x v="0"/>
    <n v="6"/>
    <n v="73944"/>
    <n v="10778.26"/>
  </r>
  <r>
    <x v="223"/>
    <s v="Aditya Sharma"/>
    <x v="2"/>
    <x v="14"/>
    <x v="3"/>
    <n v="11"/>
    <n v="1034"/>
    <n v="216.79"/>
  </r>
  <r>
    <x v="145"/>
    <s v="Vivaan Chauhan"/>
    <x v="3"/>
    <x v="0"/>
    <x v="0"/>
    <n v="1"/>
    <n v="20591"/>
    <n v="2402.48"/>
  </r>
  <r>
    <x v="264"/>
    <s v="Pooja Rawat"/>
    <x v="4"/>
    <x v="14"/>
    <x v="3"/>
    <n v="5"/>
    <n v="1050"/>
    <n v="211.2"/>
  </r>
  <r>
    <x v="290"/>
    <s v="Isha Singh"/>
    <x v="0"/>
    <x v="10"/>
    <x v="5"/>
    <n v="2"/>
    <n v="30988"/>
    <n v="5305.64"/>
  </r>
  <r>
    <x v="120"/>
    <s v="Karan Chauhan"/>
    <x v="3"/>
    <x v="0"/>
    <x v="0"/>
    <n v="5"/>
    <n v="72945"/>
    <n v="12176.11"/>
  </r>
  <r>
    <x v="5"/>
    <s v="Aditya Gupta"/>
    <x v="2"/>
    <x v="14"/>
    <x v="3"/>
    <n v="6"/>
    <n v="900"/>
    <n v="161.72"/>
  </r>
  <r>
    <x v="291"/>
    <s v="Aditya Tiwari"/>
    <x v="0"/>
    <x v="10"/>
    <x v="5"/>
    <n v="12"/>
    <n v="106908"/>
    <n v="9605.0400000000009"/>
  </r>
  <r>
    <x v="261"/>
    <s v="Ankit Das"/>
    <x v="4"/>
    <x v="0"/>
    <x v="0"/>
    <n v="8"/>
    <n v="256504"/>
    <n v="47068.87"/>
  </r>
  <r>
    <x v="194"/>
    <s v="Rohan Yadav"/>
    <x v="2"/>
    <x v="2"/>
    <x v="2"/>
    <n v="3"/>
    <n v="1266"/>
    <n v="104.01"/>
  </r>
  <r>
    <x v="292"/>
    <s v="Vikash Singh"/>
    <x v="4"/>
    <x v="7"/>
    <x v="0"/>
    <n v="8"/>
    <n v="29120"/>
    <n v="4918.6899999999996"/>
  </r>
  <r>
    <x v="293"/>
    <s v="Arjun Chauhan"/>
    <x v="3"/>
    <x v="7"/>
    <x v="0"/>
    <n v="12"/>
    <n v="36012"/>
    <n v="7368.02"/>
  </r>
  <r>
    <x v="2"/>
    <s v="Vikash Yadav"/>
    <x v="3"/>
    <x v="8"/>
    <x v="0"/>
    <n v="7"/>
    <n v="118384"/>
    <n v="20013.43"/>
  </r>
  <r>
    <x v="294"/>
    <s v="Ananya Sharma"/>
    <x v="3"/>
    <x v="1"/>
    <x v="1"/>
    <n v="2"/>
    <n v="5464"/>
    <n v="859.94"/>
  </r>
  <r>
    <x v="270"/>
    <s v="Vikash Chauhan"/>
    <x v="1"/>
    <x v="13"/>
    <x v="4"/>
    <n v="10"/>
    <n v="8410"/>
    <n v="1198.48"/>
  </r>
  <r>
    <x v="1"/>
    <s v="Simran Sharma"/>
    <x v="4"/>
    <x v="6"/>
    <x v="4"/>
    <n v="10"/>
    <n v="16720"/>
    <n v="1986.82"/>
  </r>
  <r>
    <x v="295"/>
    <s v="Ananya Rawat"/>
    <x v="3"/>
    <x v="13"/>
    <x v="4"/>
    <n v="1"/>
    <n v="1000"/>
    <n v="87.82"/>
  </r>
  <r>
    <x v="111"/>
    <s v="Aman Rawat"/>
    <x v="3"/>
    <x v="7"/>
    <x v="0"/>
    <n v="1"/>
    <n v="4235"/>
    <n v="500.44"/>
  </r>
  <r>
    <x v="255"/>
    <s v="Simran Das"/>
    <x v="4"/>
    <x v="3"/>
    <x v="0"/>
    <n v="2"/>
    <n v="2940"/>
    <n v="421.53"/>
  </r>
  <r>
    <x v="296"/>
    <s v="Aditya Tiwari"/>
    <x v="3"/>
    <x v="7"/>
    <x v="0"/>
    <n v="4"/>
    <n v="4704"/>
    <n v="1139.28"/>
  </r>
  <r>
    <x v="144"/>
    <s v="Riya Negi"/>
    <x v="4"/>
    <x v="13"/>
    <x v="4"/>
    <n v="5"/>
    <n v="5680"/>
    <n v="770.44"/>
  </r>
  <r>
    <x v="222"/>
    <s v="Ankit Yadav"/>
    <x v="2"/>
    <x v="8"/>
    <x v="0"/>
    <n v="4"/>
    <n v="70216"/>
    <n v="12347.28"/>
  </r>
  <r>
    <x v="297"/>
    <s v="Kavya Chauhan"/>
    <x v="4"/>
    <x v="4"/>
    <x v="0"/>
    <n v="8"/>
    <n v="10032"/>
    <n v="1811.65"/>
  </r>
  <r>
    <x v="298"/>
    <s v="Rohan Sharma"/>
    <x v="4"/>
    <x v="2"/>
    <x v="2"/>
    <n v="9"/>
    <n v="9702"/>
    <n v="2088.9899999999998"/>
  </r>
  <r>
    <x v="193"/>
    <s v="Aarav Joshi"/>
    <x v="1"/>
    <x v="12"/>
    <x v="0"/>
    <n v="4"/>
    <n v="250980"/>
    <n v="34859.120000000003"/>
  </r>
  <r>
    <x v="24"/>
    <s v="Ankit Verma"/>
    <x v="2"/>
    <x v="11"/>
    <x v="4"/>
    <n v="11"/>
    <n v="47102"/>
    <n v="10566.44"/>
  </r>
  <r>
    <x v="248"/>
    <s v="Vivaan Singh"/>
    <x v="1"/>
    <x v="14"/>
    <x v="3"/>
    <n v="4"/>
    <n v="628"/>
    <n v="102.77"/>
  </r>
  <r>
    <x v="167"/>
    <s v="Simran Rawat"/>
    <x v="3"/>
    <x v="3"/>
    <x v="0"/>
    <n v="2"/>
    <n v="778"/>
    <n v="184.09"/>
  </r>
  <r>
    <x v="155"/>
    <s v="Aditya Patel"/>
    <x v="4"/>
    <x v="6"/>
    <x v="4"/>
    <n v="6"/>
    <n v="18462"/>
    <n v="4535.6400000000003"/>
  </r>
  <r>
    <x v="287"/>
    <s v="Aditya Patel"/>
    <x v="2"/>
    <x v="14"/>
    <x v="3"/>
    <n v="3"/>
    <n v="639"/>
    <n v="140.19"/>
  </r>
  <r>
    <x v="238"/>
    <s v="Vikash Mishra"/>
    <x v="1"/>
    <x v="12"/>
    <x v="0"/>
    <n v="7"/>
    <n v="344981"/>
    <n v="41484.379999999997"/>
  </r>
  <r>
    <x v="299"/>
    <s v="Vikash Kumar"/>
    <x v="4"/>
    <x v="6"/>
    <x v="4"/>
    <n v="7"/>
    <n v="17752"/>
    <n v="2380.0100000000002"/>
  </r>
  <r>
    <x v="284"/>
    <s v="Arjun Singh"/>
    <x v="0"/>
    <x v="4"/>
    <x v="0"/>
    <n v="3"/>
    <n v="6291"/>
    <n v="1326.93"/>
  </r>
  <r>
    <x v="23"/>
    <s v="Arjun Mehta"/>
    <x v="1"/>
    <x v="7"/>
    <x v="0"/>
    <n v="8"/>
    <n v="36936"/>
    <n v="4926.7299999999996"/>
  </r>
  <r>
    <x v="142"/>
    <s v="Vikash Mishra"/>
    <x v="2"/>
    <x v="11"/>
    <x v="4"/>
    <n v="4"/>
    <n v="19608"/>
    <n v="2596.34"/>
  </r>
  <r>
    <x v="288"/>
    <s v="Isha Sharma"/>
    <x v="1"/>
    <x v="0"/>
    <x v="0"/>
    <n v="3"/>
    <n v="103440"/>
    <n v="13624.76"/>
  </r>
  <r>
    <x v="169"/>
    <s v="Aman Joshi"/>
    <x v="1"/>
    <x v="13"/>
    <x v="4"/>
    <n v="6"/>
    <n v="4818"/>
    <n v="460.15"/>
  </r>
  <r>
    <x v="286"/>
    <s v="Rahul Sharma"/>
    <x v="1"/>
    <x v="14"/>
    <x v="3"/>
    <n v="1"/>
    <n v="223"/>
    <n v="29.17"/>
  </r>
  <r>
    <x v="300"/>
    <s v="Aman Verma"/>
    <x v="3"/>
    <x v="13"/>
    <x v="4"/>
    <n v="8"/>
    <n v="13104"/>
    <n v="2714.8"/>
  </r>
  <r>
    <x v="89"/>
    <s v="Aman Singh"/>
    <x v="0"/>
    <x v="0"/>
    <x v="0"/>
    <n v="3"/>
    <n v="47937"/>
    <n v="3932.4"/>
  </r>
  <r>
    <x v="3"/>
    <s v="Aditya Patel"/>
    <x v="2"/>
    <x v="13"/>
    <x v="4"/>
    <n v="7"/>
    <n v="8834"/>
    <n v="1737.37"/>
  </r>
  <r>
    <x v="145"/>
    <s v="Karan Tiwari"/>
    <x v="2"/>
    <x v="3"/>
    <x v="0"/>
    <n v="2"/>
    <n v="688"/>
    <n v="171.67"/>
  </r>
  <r>
    <x v="159"/>
    <s v="Priya Verma"/>
    <x v="2"/>
    <x v="9"/>
    <x v="5"/>
    <n v="3"/>
    <n v="16518"/>
    <n v="3862.95"/>
  </r>
  <r>
    <x v="58"/>
    <s v="Pooja Mishra"/>
    <x v="4"/>
    <x v="9"/>
    <x v="5"/>
    <n v="1"/>
    <n v="6752"/>
    <n v="1600.92"/>
  </r>
  <r>
    <x v="286"/>
    <s v="Rahul Joshi"/>
    <x v="2"/>
    <x v="9"/>
    <x v="5"/>
    <n v="1"/>
    <n v="10270"/>
    <n v="2014.42"/>
  </r>
  <r>
    <x v="301"/>
    <s v="Rohan Sharma"/>
    <x v="2"/>
    <x v="6"/>
    <x v="4"/>
    <n v="3"/>
    <n v="6978"/>
    <n v="890.22"/>
  </r>
  <r>
    <x v="276"/>
    <s v="Kavya Rawat"/>
    <x v="0"/>
    <x v="5"/>
    <x v="3"/>
    <n v="10"/>
    <n v="1420"/>
    <n v="269.85000000000002"/>
  </r>
  <r>
    <x v="123"/>
    <s v="Rohan Rawat"/>
    <x v="4"/>
    <x v="9"/>
    <x v="5"/>
    <n v="1"/>
    <n v="5437"/>
    <n v="693.55"/>
  </r>
  <r>
    <x v="199"/>
    <s v="Riya Chauhan"/>
    <x v="4"/>
    <x v="1"/>
    <x v="1"/>
    <n v="9"/>
    <n v="15480"/>
    <n v="2898.29"/>
  </r>
  <r>
    <x v="180"/>
    <s v="Kavya Joshi"/>
    <x v="1"/>
    <x v="10"/>
    <x v="5"/>
    <n v="12"/>
    <n v="130596"/>
    <n v="21097.31"/>
  </r>
  <r>
    <x v="188"/>
    <s v="Aarav Joshi"/>
    <x v="3"/>
    <x v="14"/>
    <x v="3"/>
    <n v="6"/>
    <n v="894"/>
    <n v="112.62"/>
  </r>
  <r>
    <x v="302"/>
    <s v="Vikash Sharma"/>
    <x v="4"/>
    <x v="4"/>
    <x v="0"/>
    <n v="1"/>
    <n v="2334"/>
    <n v="508.39"/>
  </r>
  <r>
    <x v="229"/>
    <s v="Aman Singh"/>
    <x v="4"/>
    <x v="14"/>
    <x v="3"/>
    <n v="6"/>
    <n v="1476"/>
    <n v="264.61"/>
  </r>
  <r>
    <x v="196"/>
    <s v="Vivaan Chauhan"/>
    <x v="0"/>
    <x v="4"/>
    <x v="0"/>
    <n v="11"/>
    <n v="10923"/>
    <n v="1368.76"/>
  </r>
  <r>
    <x v="280"/>
    <s v="Rahul Singh"/>
    <x v="2"/>
    <x v="5"/>
    <x v="3"/>
    <n v="7"/>
    <n v="1190"/>
    <n v="284.39"/>
  </r>
  <r>
    <x v="282"/>
    <s v="Ananya Tiwari"/>
    <x v="4"/>
    <x v="5"/>
    <x v="3"/>
    <n v="6"/>
    <n v="1716"/>
    <n v="352.6"/>
  </r>
  <r>
    <x v="303"/>
    <s v="Meera Singh"/>
    <x v="4"/>
    <x v="12"/>
    <x v="0"/>
    <n v="12"/>
    <n v="678276"/>
    <n v="163522.16"/>
  </r>
  <r>
    <x v="242"/>
    <s v="Kavya Sharma"/>
    <x v="3"/>
    <x v="4"/>
    <x v="0"/>
    <n v="8"/>
    <n v="12880"/>
    <n v="1707.1"/>
  </r>
  <r>
    <x v="140"/>
    <s v="Simran Negi"/>
    <x v="0"/>
    <x v="12"/>
    <x v="0"/>
    <n v="4"/>
    <n v="258860"/>
    <n v="30337.75"/>
  </r>
  <r>
    <x v="24"/>
    <s v="Priya Yadav"/>
    <x v="3"/>
    <x v="8"/>
    <x v="0"/>
    <n v="10"/>
    <n v="146010"/>
    <n v="31698.15"/>
  </r>
  <r>
    <x v="304"/>
    <s v="Meera Yadav"/>
    <x v="4"/>
    <x v="6"/>
    <x v="4"/>
    <n v="6"/>
    <n v="8658"/>
    <n v="724.89"/>
  </r>
  <r>
    <x v="195"/>
    <s v="Aditya Joshi"/>
    <x v="4"/>
    <x v="11"/>
    <x v="4"/>
    <n v="2"/>
    <n v="11022"/>
    <n v="2494.4299999999998"/>
  </r>
  <r>
    <x v="249"/>
    <s v="Ankit Joshi"/>
    <x v="0"/>
    <x v="1"/>
    <x v="1"/>
    <n v="7"/>
    <n v="21700"/>
    <n v="2108.71"/>
  </r>
  <r>
    <x v="129"/>
    <s v="Kavya Das"/>
    <x v="1"/>
    <x v="7"/>
    <x v="0"/>
    <n v="12"/>
    <n v="52536"/>
    <n v="11274.92"/>
  </r>
  <r>
    <x v="134"/>
    <s v="Meera Mishra"/>
    <x v="1"/>
    <x v="7"/>
    <x v="0"/>
    <n v="12"/>
    <n v="44676"/>
    <n v="5269.55"/>
  </r>
  <r>
    <x v="236"/>
    <s v="Rohan Singh"/>
    <x v="4"/>
    <x v="10"/>
    <x v="5"/>
    <n v="5"/>
    <n v="85125"/>
    <n v="16773.43"/>
  </r>
  <r>
    <x v="24"/>
    <s v="Meera Sharma"/>
    <x v="4"/>
    <x v="2"/>
    <x v="2"/>
    <n v="10"/>
    <n v="7000"/>
    <n v="1572.4"/>
  </r>
  <r>
    <x v="211"/>
    <s v="Aman Das"/>
    <x v="3"/>
    <x v="5"/>
    <x v="3"/>
    <n v="6"/>
    <n v="1722"/>
    <n v="421"/>
  </r>
  <r>
    <x v="188"/>
    <s v="Aditya Kumar"/>
    <x v="3"/>
    <x v="0"/>
    <x v="0"/>
    <n v="8"/>
    <n v="132864"/>
    <n v="18109.18"/>
  </r>
  <r>
    <x v="218"/>
    <s v="Priya Negi"/>
    <x v="3"/>
    <x v="8"/>
    <x v="0"/>
    <n v="3"/>
    <n v="32721"/>
    <n v="7188.23"/>
  </r>
  <r>
    <x v="292"/>
    <s v="Ananya Gupta"/>
    <x v="2"/>
    <x v="3"/>
    <x v="0"/>
    <n v="4"/>
    <n v="3244"/>
    <n v="641.79"/>
  </r>
  <r>
    <x v="95"/>
    <s v="Pooja Singh"/>
    <x v="4"/>
    <x v="2"/>
    <x v="2"/>
    <n v="1"/>
    <n v="349"/>
    <n v="50.82"/>
  </r>
  <r>
    <x v="59"/>
    <s v="Arjun Mishra"/>
    <x v="2"/>
    <x v="9"/>
    <x v="5"/>
    <n v="7"/>
    <n v="68278"/>
    <n v="11800.08"/>
  </r>
  <r>
    <x v="226"/>
    <s v="Aditya Chauhan"/>
    <x v="1"/>
    <x v="11"/>
    <x v="4"/>
    <n v="10"/>
    <n v="30470"/>
    <n v="3280.14"/>
  </r>
  <r>
    <x v="305"/>
    <s v="Arjun Verma"/>
    <x v="4"/>
    <x v="3"/>
    <x v="0"/>
    <n v="1"/>
    <n v="952"/>
    <n v="118.42"/>
  </r>
  <r>
    <x v="306"/>
    <s v="Riya Tiwari"/>
    <x v="4"/>
    <x v="7"/>
    <x v="0"/>
    <n v="7"/>
    <n v="14826"/>
    <n v="3030.99"/>
  </r>
  <r>
    <x v="126"/>
    <s v="Pooja Das"/>
    <x v="0"/>
    <x v="8"/>
    <x v="0"/>
    <n v="10"/>
    <n v="238180"/>
    <n v="47580.22"/>
  </r>
  <r>
    <x v="87"/>
    <s v="Priya Kumar"/>
    <x v="4"/>
    <x v="5"/>
    <x v="3"/>
    <n v="7"/>
    <n v="840"/>
    <n v="74.849999999999994"/>
  </r>
  <r>
    <x v="37"/>
    <s v="Riya Gupta"/>
    <x v="1"/>
    <x v="10"/>
    <x v="5"/>
    <n v="12"/>
    <n v="168936"/>
    <n v="34251.18"/>
  </r>
  <r>
    <x v="114"/>
    <s v="Neha Patel"/>
    <x v="4"/>
    <x v="3"/>
    <x v="0"/>
    <n v="5"/>
    <n v="3930"/>
    <n v="378.48"/>
  </r>
  <r>
    <x v="123"/>
    <s v="Aarav Rawat"/>
    <x v="2"/>
    <x v="13"/>
    <x v="4"/>
    <n v="8"/>
    <n v="6512"/>
    <n v="581.29999999999995"/>
  </r>
  <r>
    <x v="240"/>
    <s v="Karan Verma"/>
    <x v="4"/>
    <x v="3"/>
    <x v="0"/>
    <n v="11"/>
    <n v="17380"/>
    <n v="3163.8"/>
  </r>
  <r>
    <x v="307"/>
    <s v="Aditya Negi"/>
    <x v="2"/>
    <x v="4"/>
    <x v="0"/>
    <n v="3"/>
    <n v="5421"/>
    <n v="702.6"/>
  </r>
  <r>
    <x v="308"/>
    <s v="Vikash Verma"/>
    <x v="3"/>
    <x v="3"/>
    <x v="0"/>
    <n v="7"/>
    <n v="8848"/>
    <n v="1443.52"/>
  </r>
  <r>
    <x v="244"/>
    <s v="Neha Joshi"/>
    <x v="3"/>
    <x v="14"/>
    <x v="3"/>
    <n v="7"/>
    <n v="679"/>
    <n v="97.15"/>
  </r>
  <r>
    <x v="309"/>
    <s v="Vikash Kumar"/>
    <x v="0"/>
    <x v="9"/>
    <x v="5"/>
    <n v="1"/>
    <n v="8313"/>
    <n v="1286.49"/>
  </r>
  <r>
    <x v="14"/>
    <s v="Arjun Verma"/>
    <x v="4"/>
    <x v="5"/>
    <x v="3"/>
    <n v="1"/>
    <n v="118"/>
    <n v="24.53"/>
  </r>
  <r>
    <x v="60"/>
    <s v="Meera Kumar"/>
    <x v="3"/>
    <x v="8"/>
    <x v="0"/>
    <n v="9"/>
    <n v="194085"/>
    <n v="47554.7"/>
  </r>
  <r>
    <x v="310"/>
    <s v="Riya Das"/>
    <x v="3"/>
    <x v="12"/>
    <x v="0"/>
    <n v="7"/>
    <n v="434861"/>
    <n v="65736.83"/>
  </r>
  <r>
    <x v="27"/>
    <s v="Neha Tiwari"/>
    <x v="0"/>
    <x v="5"/>
    <x v="3"/>
    <n v="4"/>
    <n v="804"/>
    <n v="105.17"/>
  </r>
  <r>
    <x v="305"/>
    <s v="Isha Singh"/>
    <x v="0"/>
    <x v="14"/>
    <x v="3"/>
    <n v="10"/>
    <n v="1820"/>
    <n v="393.26"/>
  </r>
  <r>
    <x v="288"/>
    <s v="Rahul Kumar"/>
    <x v="4"/>
    <x v="11"/>
    <x v="4"/>
    <n v="8"/>
    <n v="20928"/>
    <n v="5050.7700000000004"/>
  </r>
  <r>
    <x v="105"/>
    <s v="Pooja Kumar"/>
    <x v="2"/>
    <x v="7"/>
    <x v="0"/>
    <n v="1"/>
    <n v="4268"/>
    <n v="398.3"/>
  </r>
  <r>
    <x v="187"/>
    <s v="Aditya Verma"/>
    <x v="4"/>
    <x v="7"/>
    <x v="0"/>
    <n v="10"/>
    <n v="29120"/>
    <n v="3912.49"/>
  </r>
  <r>
    <x v="157"/>
    <s v="Vikash Mehta"/>
    <x v="2"/>
    <x v="14"/>
    <x v="3"/>
    <n v="7"/>
    <n v="1337"/>
    <n v="181.09"/>
  </r>
  <r>
    <x v="48"/>
    <s v="Arjun Rawat"/>
    <x v="0"/>
    <x v="6"/>
    <x v="4"/>
    <n v="1"/>
    <n v="3340"/>
    <n v="711.04"/>
  </r>
  <r>
    <x v="111"/>
    <s v="Meera Chauhan"/>
    <x v="1"/>
    <x v="7"/>
    <x v="0"/>
    <n v="10"/>
    <n v="16200"/>
    <n v="3843.25"/>
  </r>
  <r>
    <x v="196"/>
    <s v="Pooja Gupta"/>
    <x v="4"/>
    <x v="11"/>
    <x v="4"/>
    <n v="5"/>
    <n v="27935"/>
    <n v="6414.52"/>
  </r>
  <r>
    <x v="279"/>
    <s v="Vivaan Singh"/>
    <x v="1"/>
    <x v="1"/>
    <x v="1"/>
    <n v="8"/>
    <n v="24344"/>
    <n v="4467.7"/>
  </r>
  <r>
    <x v="311"/>
    <s v="Neha Sharma"/>
    <x v="2"/>
    <x v="10"/>
    <x v="5"/>
    <n v="3"/>
    <n v="45387"/>
    <n v="8327.2199999999993"/>
  </r>
  <r>
    <x v="286"/>
    <s v="Kavya Tiwari"/>
    <x v="4"/>
    <x v="6"/>
    <x v="4"/>
    <n v="6"/>
    <n v="13038"/>
    <n v="1152.29"/>
  </r>
  <r>
    <x v="14"/>
    <s v="Ankit Gupta"/>
    <x v="1"/>
    <x v="6"/>
    <x v="4"/>
    <n v="6"/>
    <n v="7692"/>
    <n v="1057.17"/>
  </r>
  <r>
    <x v="312"/>
    <s v="Aman Singh"/>
    <x v="1"/>
    <x v="13"/>
    <x v="4"/>
    <n v="8"/>
    <n v="5608"/>
    <n v="1375.78"/>
  </r>
  <r>
    <x v="313"/>
    <s v="Vikash Yadav"/>
    <x v="4"/>
    <x v="2"/>
    <x v="2"/>
    <n v="8"/>
    <n v="8736"/>
    <n v="1925.33"/>
  </r>
  <r>
    <x v="256"/>
    <s v="Karan Tiwari"/>
    <x v="1"/>
    <x v="5"/>
    <x v="3"/>
    <n v="11"/>
    <n v="1122"/>
    <n v="125.61"/>
  </r>
  <r>
    <x v="34"/>
    <s v="Ananya Mishra"/>
    <x v="4"/>
    <x v="2"/>
    <x v="2"/>
    <n v="8"/>
    <n v="8616"/>
    <n v="1445.81"/>
  </r>
  <r>
    <x v="189"/>
    <s v="Simran Rawat"/>
    <x v="1"/>
    <x v="14"/>
    <x v="3"/>
    <n v="3"/>
    <n v="198"/>
    <n v="26.31"/>
  </r>
  <r>
    <x v="129"/>
    <s v="Karan Tiwari"/>
    <x v="0"/>
    <x v="11"/>
    <x v="4"/>
    <n v="9"/>
    <n v="52722"/>
    <n v="4477.21"/>
  </r>
  <r>
    <x v="199"/>
    <s v="Vivaan Tiwari"/>
    <x v="4"/>
    <x v="13"/>
    <x v="4"/>
    <n v="1"/>
    <n v="1010"/>
    <n v="86.48"/>
  </r>
  <r>
    <x v="207"/>
    <s v="Sneha Mehta"/>
    <x v="0"/>
    <x v="2"/>
    <x v="2"/>
    <n v="4"/>
    <n v="2320"/>
    <n v="330.88"/>
  </r>
  <r>
    <x v="264"/>
    <s v="Ananya Negi"/>
    <x v="3"/>
    <x v="1"/>
    <x v="1"/>
    <n v="2"/>
    <n v="6980"/>
    <n v="594.66999999999996"/>
  </r>
  <r>
    <x v="190"/>
    <s v="Ananya Joshi"/>
    <x v="0"/>
    <x v="9"/>
    <x v="5"/>
    <n v="3"/>
    <n v="35325"/>
    <n v="6350.36"/>
  </r>
  <r>
    <x v="225"/>
    <s v="Neha Sharma"/>
    <x v="1"/>
    <x v="13"/>
    <x v="4"/>
    <n v="5"/>
    <n v="3425"/>
    <n v="439.98"/>
  </r>
  <r>
    <x v="225"/>
    <s v="Aman Das"/>
    <x v="2"/>
    <x v="13"/>
    <x v="4"/>
    <n v="10"/>
    <n v="9380"/>
    <n v="2117.15"/>
  </r>
  <r>
    <x v="248"/>
    <s v="Aarav Negi"/>
    <x v="0"/>
    <x v="3"/>
    <x v="0"/>
    <n v="11"/>
    <n v="12518"/>
    <n v="2093.73"/>
  </r>
  <r>
    <x v="47"/>
    <s v="Aman Gupta"/>
    <x v="0"/>
    <x v="1"/>
    <x v="1"/>
    <n v="3"/>
    <n v="9486"/>
    <n v="2050.37"/>
  </r>
  <r>
    <x v="166"/>
    <s v="Neha Mishra"/>
    <x v="0"/>
    <x v="11"/>
    <x v="4"/>
    <n v="5"/>
    <n v="17275"/>
    <n v="2626.61"/>
  </r>
  <r>
    <x v="186"/>
    <s v="Simran Mishra"/>
    <x v="2"/>
    <x v="9"/>
    <x v="5"/>
    <n v="5"/>
    <n v="37875"/>
    <n v="6034.95"/>
  </r>
  <r>
    <x v="138"/>
    <s v="Ananya Mehta"/>
    <x v="2"/>
    <x v="10"/>
    <x v="5"/>
    <n v="10"/>
    <n v="66760"/>
    <n v="5424.19"/>
  </r>
  <r>
    <x v="97"/>
    <s v="Arjun Negi"/>
    <x v="0"/>
    <x v="5"/>
    <x v="3"/>
    <n v="10"/>
    <n v="1520"/>
    <n v="198.73"/>
  </r>
  <r>
    <x v="30"/>
    <s v="Vikash Das"/>
    <x v="3"/>
    <x v="8"/>
    <x v="0"/>
    <n v="5"/>
    <n v="93270"/>
    <n v="21121.32"/>
  </r>
  <r>
    <x v="167"/>
    <s v="Simran Chauhan"/>
    <x v="2"/>
    <x v="6"/>
    <x v="4"/>
    <n v="11"/>
    <n v="26653"/>
    <n v="2985.7"/>
  </r>
  <r>
    <x v="206"/>
    <s v="Rohan Yadav"/>
    <x v="2"/>
    <x v="6"/>
    <x v="4"/>
    <n v="1"/>
    <n v="2855"/>
    <n v="548.99"/>
  </r>
  <r>
    <x v="307"/>
    <s v="Pooja Rawat"/>
    <x v="2"/>
    <x v="1"/>
    <x v="1"/>
    <n v="8"/>
    <n v="15280"/>
    <n v="1896.29"/>
  </r>
  <r>
    <x v="157"/>
    <s v="Meera Mishra"/>
    <x v="4"/>
    <x v="2"/>
    <x v="2"/>
    <n v="1"/>
    <n v="897"/>
    <n v="179.73"/>
  </r>
  <r>
    <x v="37"/>
    <s v="Kavya Tiwari"/>
    <x v="0"/>
    <x v="8"/>
    <x v="0"/>
    <n v="12"/>
    <n v="183432"/>
    <n v="36076.32"/>
  </r>
  <r>
    <x v="253"/>
    <s v="Riya Singh"/>
    <x v="3"/>
    <x v="8"/>
    <x v="0"/>
    <n v="9"/>
    <n v="160524"/>
    <n v="35912.629999999997"/>
  </r>
  <r>
    <x v="102"/>
    <s v="Riya Chauhan"/>
    <x v="2"/>
    <x v="0"/>
    <x v="0"/>
    <n v="8"/>
    <n v="129536"/>
    <n v="26678.74"/>
  </r>
  <r>
    <x v="211"/>
    <s v="Ananya Kumar"/>
    <x v="4"/>
    <x v="1"/>
    <x v="1"/>
    <n v="6"/>
    <n v="20280"/>
    <n v="1930.27"/>
  </r>
  <r>
    <x v="25"/>
    <s v="Ankit Negi"/>
    <x v="1"/>
    <x v="10"/>
    <x v="5"/>
    <n v="6"/>
    <n v="66534"/>
    <n v="8269.85"/>
  </r>
  <r>
    <x v="314"/>
    <s v="Isha Verma"/>
    <x v="1"/>
    <x v="9"/>
    <x v="5"/>
    <n v="1"/>
    <n v="14393"/>
    <n v="2579.34"/>
  </r>
  <r>
    <x v="229"/>
    <s v="Neha Mehta"/>
    <x v="2"/>
    <x v="6"/>
    <x v="4"/>
    <n v="4"/>
    <n v="12996"/>
    <n v="1304.3900000000001"/>
  </r>
  <r>
    <x v="315"/>
    <s v="Karan Joshi"/>
    <x v="3"/>
    <x v="10"/>
    <x v="5"/>
    <n v="1"/>
    <n v="7470"/>
    <n v="772.04"/>
  </r>
  <r>
    <x v="193"/>
    <s v="Rahul Chauhan"/>
    <x v="3"/>
    <x v="5"/>
    <x v="3"/>
    <n v="8"/>
    <n v="928"/>
    <n v="124.15"/>
  </r>
  <r>
    <x v="91"/>
    <s v="Priya Das"/>
    <x v="0"/>
    <x v="9"/>
    <x v="5"/>
    <n v="6"/>
    <n v="86028"/>
    <n v="21311.62"/>
  </r>
  <r>
    <x v="43"/>
    <s v="Rahul Patel"/>
    <x v="2"/>
    <x v="12"/>
    <x v="0"/>
    <n v="8"/>
    <n v="431696"/>
    <n v="49901.9"/>
  </r>
  <r>
    <x v="316"/>
    <s v="Pooja Rawat"/>
    <x v="1"/>
    <x v="9"/>
    <x v="5"/>
    <n v="2"/>
    <n v="12240"/>
    <n v="2257.81"/>
  </r>
  <r>
    <x v="283"/>
    <s v="Karan Yadav"/>
    <x v="0"/>
    <x v="9"/>
    <x v="5"/>
    <n v="7"/>
    <n v="28532"/>
    <n v="2465.54"/>
  </r>
  <r>
    <x v="317"/>
    <s v="Aarav Das"/>
    <x v="3"/>
    <x v="12"/>
    <x v="0"/>
    <n v="6"/>
    <n v="374400"/>
    <n v="42081.83"/>
  </r>
  <r>
    <x v="38"/>
    <s v="Rohan Verma"/>
    <x v="0"/>
    <x v="4"/>
    <x v="0"/>
    <n v="12"/>
    <n v="27552"/>
    <n v="3817.04"/>
  </r>
  <r>
    <x v="279"/>
    <s v="Vivaan Gupta"/>
    <x v="1"/>
    <x v="14"/>
    <x v="3"/>
    <n v="10"/>
    <n v="1280"/>
    <n v="138.74"/>
  </r>
  <r>
    <x v="9"/>
    <s v="Priya Rawat"/>
    <x v="3"/>
    <x v="9"/>
    <x v="5"/>
    <n v="12"/>
    <n v="150288"/>
    <n v="27259.67"/>
  </r>
  <r>
    <x v="116"/>
    <s v="Karan Singh"/>
    <x v="4"/>
    <x v="7"/>
    <x v="0"/>
    <n v="6"/>
    <n v="28890"/>
    <n v="4075.59"/>
  </r>
  <r>
    <x v="36"/>
    <s v="Rohan Kumar"/>
    <x v="4"/>
    <x v="12"/>
    <x v="0"/>
    <n v="4"/>
    <n v="209400"/>
    <n v="42637.760000000002"/>
  </r>
  <r>
    <x v="318"/>
    <s v="Vivaan Rawat"/>
    <x v="2"/>
    <x v="5"/>
    <x v="3"/>
    <n v="9"/>
    <n v="1107"/>
    <n v="111.74"/>
  </r>
  <r>
    <x v="0"/>
    <s v="Vivaan Das"/>
    <x v="0"/>
    <x v="3"/>
    <x v="0"/>
    <n v="9"/>
    <n v="14184"/>
    <n v="1251.8800000000001"/>
  </r>
  <r>
    <x v="95"/>
    <s v="Pooja Negi"/>
    <x v="3"/>
    <x v="1"/>
    <x v="1"/>
    <n v="1"/>
    <n v="897"/>
    <n v="176.94"/>
  </r>
  <r>
    <x v="40"/>
    <s v="Rohan Kumar"/>
    <x v="2"/>
    <x v="0"/>
    <x v="0"/>
    <n v="9"/>
    <n v="182529"/>
    <n v="29322.81"/>
  </r>
  <r>
    <x v="82"/>
    <s v="Arjun Das"/>
    <x v="0"/>
    <x v="1"/>
    <x v="1"/>
    <n v="11"/>
    <n v="8118"/>
    <n v="1065"/>
  </r>
  <r>
    <x v="66"/>
    <s v="Pooja Mishra"/>
    <x v="1"/>
    <x v="3"/>
    <x v="0"/>
    <n v="10"/>
    <n v="15400"/>
    <n v="3066.5"/>
  </r>
  <r>
    <x v="319"/>
    <s v="Arjun Chauhan"/>
    <x v="3"/>
    <x v="14"/>
    <x v="3"/>
    <n v="12"/>
    <n v="2496"/>
    <n v="249.64"/>
  </r>
  <r>
    <x v="23"/>
    <s v="Vikash Mishra"/>
    <x v="0"/>
    <x v="9"/>
    <x v="5"/>
    <n v="4"/>
    <n v="55908"/>
    <n v="6371.13"/>
  </r>
  <r>
    <x v="192"/>
    <s v="Rahul Sharma"/>
    <x v="3"/>
    <x v="4"/>
    <x v="0"/>
    <n v="6"/>
    <n v="11640"/>
    <n v="1742.03"/>
  </r>
  <r>
    <x v="285"/>
    <s v="Aarav Sharma"/>
    <x v="0"/>
    <x v="9"/>
    <x v="5"/>
    <n v="4"/>
    <n v="47500"/>
    <n v="6469.62"/>
  </r>
  <r>
    <x v="253"/>
    <s v="Rohan Verma"/>
    <x v="1"/>
    <x v="0"/>
    <x v="0"/>
    <n v="2"/>
    <n v="61626"/>
    <n v="11939.03"/>
  </r>
  <r>
    <x v="320"/>
    <s v="Aman Negi"/>
    <x v="3"/>
    <x v="0"/>
    <x v="0"/>
    <n v="12"/>
    <n v="183828"/>
    <n v="42981.279999999999"/>
  </r>
  <r>
    <x v="149"/>
    <s v="Rahul Mishra"/>
    <x v="4"/>
    <x v="3"/>
    <x v="0"/>
    <n v="8"/>
    <n v="3216"/>
    <n v="311.85000000000002"/>
  </r>
  <r>
    <x v="118"/>
    <s v="Priya Rawat"/>
    <x v="1"/>
    <x v="13"/>
    <x v="4"/>
    <n v="5"/>
    <n v="6185"/>
    <n v="1337.64"/>
  </r>
  <r>
    <x v="308"/>
    <s v="Rahul Joshi"/>
    <x v="0"/>
    <x v="0"/>
    <x v="0"/>
    <n v="1"/>
    <n v="12316"/>
    <n v="2769.13"/>
  </r>
  <r>
    <x v="142"/>
    <s v="Aditya Joshi"/>
    <x v="3"/>
    <x v="6"/>
    <x v="4"/>
    <n v="8"/>
    <n v="18384"/>
    <n v="4216.2"/>
  </r>
  <r>
    <x v="306"/>
    <s v="Sneha Gupta"/>
    <x v="1"/>
    <x v="7"/>
    <x v="0"/>
    <n v="2"/>
    <n v="8166"/>
    <n v="1208.92"/>
  </r>
  <r>
    <x v="65"/>
    <s v="Rahul Verma"/>
    <x v="0"/>
    <x v="2"/>
    <x v="2"/>
    <n v="8"/>
    <n v="8952"/>
    <n v="1357.98"/>
  </r>
  <r>
    <x v="47"/>
    <s v="Rahul Verma"/>
    <x v="4"/>
    <x v="2"/>
    <x v="2"/>
    <n v="12"/>
    <n v="4320"/>
    <n v="1066.46"/>
  </r>
  <r>
    <x v="256"/>
    <s v="Sneha Singh"/>
    <x v="4"/>
    <x v="6"/>
    <x v="4"/>
    <n v="10"/>
    <n v="31770"/>
    <n v="6874.55"/>
  </r>
  <r>
    <x v="113"/>
    <s v="Rohan Negi"/>
    <x v="0"/>
    <x v="10"/>
    <x v="5"/>
    <n v="6"/>
    <n v="90096"/>
    <n v="7649.04"/>
  </r>
  <r>
    <x v="321"/>
    <s v="Vikash Das"/>
    <x v="4"/>
    <x v="0"/>
    <x v="0"/>
    <n v="7"/>
    <n v="185080"/>
    <n v="16252.85"/>
  </r>
  <r>
    <x v="42"/>
    <s v="Meera Yadav"/>
    <x v="1"/>
    <x v="12"/>
    <x v="0"/>
    <n v="12"/>
    <n v="746364"/>
    <n v="157094.60999999999"/>
  </r>
  <r>
    <x v="188"/>
    <s v="Simran Yadav"/>
    <x v="4"/>
    <x v="4"/>
    <x v="0"/>
    <n v="11"/>
    <n v="25168"/>
    <n v="3460.88"/>
  </r>
  <r>
    <x v="155"/>
    <s v="Aman Negi"/>
    <x v="2"/>
    <x v="5"/>
    <x v="3"/>
    <n v="2"/>
    <n v="380"/>
    <n v="73.150000000000006"/>
  </r>
  <r>
    <x v="218"/>
    <s v="Riya Tiwari"/>
    <x v="4"/>
    <x v="1"/>
    <x v="1"/>
    <n v="11"/>
    <n v="36597"/>
    <n v="5322.27"/>
  </r>
  <r>
    <x v="219"/>
    <s v="Kavya Mishra"/>
    <x v="2"/>
    <x v="12"/>
    <x v="0"/>
    <n v="1"/>
    <n v="50142"/>
    <n v="8320.89"/>
  </r>
  <r>
    <x v="237"/>
    <s v="Priya Kumar"/>
    <x v="3"/>
    <x v="13"/>
    <x v="4"/>
    <n v="3"/>
    <n v="1959"/>
    <n v="406.97"/>
  </r>
  <r>
    <x v="32"/>
    <s v="Neha Rawat"/>
    <x v="1"/>
    <x v="3"/>
    <x v="0"/>
    <n v="1"/>
    <n v="1338"/>
    <n v="157.69999999999999"/>
  </r>
  <r>
    <x v="44"/>
    <s v="Sneha Verma"/>
    <x v="3"/>
    <x v="0"/>
    <x v="0"/>
    <n v="8"/>
    <n v="212440"/>
    <n v="45932.59"/>
  </r>
  <r>
    <x v="270"/>
    <s v="Aarav Verma"/>
    <x v="3"/>
    <x v="9"/>
    <x v="5"/>
    <n v="6"/>
    <n v="35664"/>
    <n v="8798.81"/>
  </r>
  <r>
    <x v="36"/>
    <s v="Aditya Chauhan"/>
    <x v="4"/>
    <x v="10"/>
    <x v="5"/>
    <n v="1"/>
    <n v="14128"/>
    <n v="2449.04"/>
  </r>
  <r>
    <x v="322"/>
    <s v="Riya Kumar"/>
    <x v="4"/>
    <x v="5"/>
    <x v="3"/>
    <n v="11"/>
    <n v="1727"/>
    <n v="399.49"/>
  </r>
  <r>
    <x v="15"/>
    <s v="Vivaan Mishra"/>
    <x v="4"/>
    <x v="1"/>
    <x v="1"/>
    <n v="8"/>
    <n v="16768"/>
    <n v="2377.17"/>
  </r>
  <r>
    <x v="202"/>
    <s v="Isha Patel"/>
    <x v="3"/>
    <x v="13"/>
    <x v="4"/>
    <n v="8"/>
    <n v="9432"/>
    <n v="1652.73"/>
  </r>
  <r>
    <x v="103"/>
    <s v="Arjun Verma"/>
    <x v="1"/>
    <x v="2"/>
    <x v="2"/>
    <n v="11"/>
    <n v="7392"/>
    <n v="1491.01"/>
  </r>
  <r>
    <x v="131"/>
    <s v="Ankit Mehta"/>
    <x v="1"/>
    <x v="4"/>
    <x v="0"/>
    <n v="1"/>
    <n v="1199"/>
    <n v="168.31"/>
  </r>
  <r>
    <x v="192"/>
    <s v="Rahul Negi"/>
    <x v="2"/>
    <x v="8"/>
    <x v="0"/>
    <n v="12"/>
    <n v="137796"/>
    <n v="12096.05"/>
  </r>
  <r>
    <x v="204"/>
    <s v="Isha Kumar"/>
    <x v="0"/>
    <x v="13"/>
    <x v="4"/>
    <n v="12"/>
    <n v="16056"/>
    <n v="1576.43"/>
  </r>
  <r>
    <x v="133"/>
    <s v="Karan Yadav"/>
    <x v="1"/>
    <x v="0"/>
    <x v="0"/>
    <n v="7"/>
    <n v="133448"/>
    <n v="21044.46"/>
  </r>
  <r>
    <x v="323"/>
    <s v="Meera Verma"/>
    <x v="4"/>
    <x v="0"/>
    <x v="0"/>
    <n v="7"/>
    <n v="94661"/>
    <n v="22484.5"/>
  </r>
  <r>
    <x v="100"/>
    <s v="Rohan Negi"/>
    <x v="2"/>
    <x v="9"/>
    <x v="5"/>
    <n v="11"/>
    <n v="150205"/>
    <n v="36432.58"/>
  </r>
  <r>
    <x v="324"/>
    <s v="Pooja Mishra"/>
    <x v="4"/>
    <x v="14"/>
    <x v="3"/>
    <n v="12"/>
    <n v="744"/>
    <n v="129.49"/>
  </r>
  <r>
    <x v="84"/>
    <s v="Rahul Yadav"/>
    <x v="3"/>
    <x v="9"/>
    <x v="5"/>
    <n v="9"/>
    <n v="62127"/>
    <n v="12276.86"/>
  </r>
  <r>
    <x v="68"/>
    <s v="Priya Mehta"/>
    <x v="3"/>
    <x v="0"/>
    <x v="0"/>
    <n v="7"/>
    <n v="234815"/>
    <n v="42758.13"/>
  </r>
  <r>
    <x v="279"/>
    <s v="Vikash Rawat"/>
    <x v="4"/>
    <x v="10"/>
    <x v="5"/>
    <n v="10"/>
    <n v="163460"/>
    <n v="34261.82"/>
  </r>
  <r>
    <x v="306"/>
    <s v="Isha Yadav"/>
    <x v="1"/>
    <x v="3"/>
    <x v="0"/>
    <n v="8"/>
    <n v="4584"/>
    <n v="474.4"/>
  </r>
  <r>
    <x v="214"/>
    <s v="Riya Das"/>
    <x v="0"/>
    <x v="3"/>
    <x v="0"/>
    <n v="12"/>
    <n v="17052"/>
    <n v="3859.21"/>
  </r>
  <r>
    <x v="93"/>
    <s v="Ananya Tiwari"/>
    <x v="4"/>
    <x v="4"/>
    <x v="0"/>
    <n v="4"/>
    <n v="7112"/>
    <n v="1432.68"/>
  </r>
  <r>
    <x v="251"/>
    <s v="Priya Yadav"/>
    <x v="1"/>
    <x v="7"/>
    <x v="0"/>
    <n v="12"/>
    <n v="27072"/>
    <n v="4484.8"/>
  </r>
  <r>
    <x v="308"/>
    <s v="Meera Das"/>
    <x v="2"/>
    <x v="11"/>
    <x v="4"/>
    <n v="6"/>
    <n v="34836"/>
    <n v="5631.69"/>
  </r>
  <r>
    <x v="181"/>
    <s v="Riya Gupta"/>
    <x v="4"/>
    <x v="10"/>
    <x v="5"/>
    <n v="11"/>
    <n v="189783"/>
    <n v="44021.54"/>
  </r>
  <r>
    <x v="41"/>
    <s v="Neha Singh"/>
    <x v="2"/>
    <x v="11"/>
    <x v="4"/>
    <n v="1"/>
    <n v="5482"/>
    <n v="537.78"/>
  </r>
  <r>
    <x v="201"/>
    <s v="Rahul Gupta"/>
    <x v="1"/>
    <x v="1"/>
    <x v="1"/>
    <n v="1"/>
    <n v="1518"/>
    <n v="190.34"/>
  </r>
  <r>
    <x v="11"/>
    <s v="Ankit Kumar"/>
    <x v="1"/>
    <x v="3"/>
    <x v="0"/>
    <n v="3"/>
    <n v="1281"/>
    <n v="252.87"/>
  </r>
  <r>
    <x v="83"/>
    <s v="Riya Mishra"/>
    <x v="1"/>
    <x v="12"/>
    <x v="0"/>
    <n v="6"/>
    <n v="358980"/>
    <n v="34972.410000000003"/>
  </r>
  <r>
    <x v="202"/>
    <s v="Simran Chauhan"/>
    <x v="1"/>
    <x v="2"/>
    <x v="2"/>
    <n v="11"/>
    <n v="9614"/>
    <n v="1404.71"/>
  </r>
  <r>
    <x v="96"/>
    <s v="Neha Rawat"/>
    <x v="3"/>
    <x v="3"/>
    <x v="0"/>
    <n v="12"/>
    <n v="19920"/>
    <n v="1752.69"/>
  </r>
  <r>
    <x v="256"/>
    <s v="Vivaan Sharma"/>
    <x v="1"/>
    <x v="11"/>
    <x v="4"/>
    <n v="11"/>
    <n v="41371"/>
    <n v="10102.450000000001"/>
  </r>
  <r>
    <x v="325"/>
    <s v="Sneha Mishra"/>
    <x v="3"/>
    <x v="4"/>
    <x v="0"/>
    <n v="10"/>
    <n v="22790"/>
    <n v="4848.74"/>
  </r>
  <r>
    <x v="173"/>
    <s v="Riya Yadav"/>
    <x v="0"/>
    <x v="6"/>
    <x v="4"/>
    <n v="11"/>
    <n v="29766"/>
    <n v="6202.29"/>
  </r>
  <r>
    <x v="326"/>
    <s v="Sneha Singh"/>
    <x v="3"/>
    <x v="4"/>
    <x v="0"/>
    <n v="12"/>
    <n v="29688"/>
    <n v="3351.62"/>
  </r>
  <r>
    <x v="11"/>
    <s v="Arjun Rawat"/>
    <x v="2"/>
    <x v="0"/>
    <x v="0"/>
    <n v="3"/>
    <n v="53082"/>
    <n v="10879.87"/>
  </r>
  <r>
    <x v="118"/>
    <s v="Rahul Patel"/>
    <x v="0"/>
    <x v="10"/>
    <x v="5"/>
    <n v="5"/>
    <n v="70595"/>
    <n v="8818.7800000000007"/>
  </r>
  <r>
    <x v="178"/>
    <s v="Rohan Sharma"/>
    <x v="2"/>
    <x v="12"/>
    <x v="0"/>
    <n v="6"/>
    <n v="361680"/>
    <n v="72570.070000000007"/>
  </r>
  <r>
    <x v="170"/>
    <s v="Isha Mishra"/>
    <x v="4"/>
    <x v="6"/>
    <x v="4"/>
    <n v="6"/>
    <n v="8448"/>
    <n v="1786.94"/>
  </r>
  <r>
    <x v="114"/>
    <s v="Aditya Chauhan"/>
    <x v="4"/>
    <x v="3"/>
    <x v="0"/>
    <n v="8"/>
    <n v="11776"/>
    <n v="2043.46"/>
  </r>
  <r>
    <x v="31"/>
    <s v="Simran Verma"/>
    <x v="3"/>
    <x v="8"/>
    <x v="0"/>
    <n v="9"/>
    <n v="136863"/>
    <n v="33215"/>
  </r>
  <r>
    <x v="78"/>
    <s v="Aman Tiwari"/>
    <x v="2"/>
    <x v="7"/>
    <x v="0"/>
    <n v="7"/>
    <n v="28728"/>
    <n v="2747.28"/>
  </r>
  <r>
    <x v="301"/>
    <s v="Karan Chauhan"/>
    <x v="4"/>
    <x v="1"/>
    <x v="1"/>
    <n v="6"/>
    <n v="12336"/>
    <n v="1743.52"/>
  </r>
  <r>
    <x v="327"/>
    <s v="Aarav Verma"/>
    <x v="4"/>
    <x v="14"/>
    <x v="3"/>
    <n v="8"/>
    <n v="1544"/>
    <n v="339.72"/>
  </r>
  <r>
    <x v="60"/>
    <s v="Isha Tiwari"/>
    <x v="4"/>
    <x v="8"/>
    <x v="0"/>
    <n v="8"/>
    <n v="127000"/>
    <n v="29688.080000000002"/>
  </r>
  <r>
    <x v="297"/>
    <s v="Neha Tiwari"/>
    <x v="0"/>
    <x v="4"/>
    <x v="0"/>
    <n v="1"/>
    <n v="1897"/>
    <n v="437.38"/>
  </r>
  <r>
    <x v="150"/>
    <s v="Aarav Tiwari"/>
    <x v="0"/>
    <x v="10"/>
    <x v="5"/>
    <n v="5"/>
    <n v="69255"/>
    <n v="14064.02"/>
  </r>
  <r>
    <x v="328"/>
    <s v="Sneha Negi"/>
    <x v="1"/>
    <x v="13"/>
    <x v="4"/>
    <n v="6"/>
    <n v="9318"/>
    <n v="2017.15"/>
  </r>
  <r>
    <x v="295"/>
    <s v="Aditya Verma"/>
    <x v="2"/>
    <x v="3"/>
    <x v="0"/>
    <n v="11"/>
    <n v="7634"/>
    <n v="1026.42"/>
  </r>
  <r>
    <x v="141"/>
    <s v="Aditya Kumar"/>
    <x v="4"/>
    <x v="11"/>
    <x v="4"/>
    <n v="9"/>
    <n v="50112"/>
    <n v="4071.41"/>
  </r>
  <r>
    <x v="253"/>
    <s v="Karan Mehta"/>
    <x v="2"/>
    <x v="1"/>
    <x v="1"/>
    <n v="4"/>
    <n v="9748"/>
    <n v="2164.67"/>
  </r>
  <r>
    <x v="290"/>
    <s v="Aditya Yadav"/>
    <x v="1"/>
    <x v="6"/>
    <x v="4"/>
    <n v="12"/>
    <n v="35784"/>
    <n v="6795.93"/>
  </r>
  <r>
    <x v="116"/>
    <s v="Vivaan Verma"/>
    <x v="3"/>
    <x v="7"/>
    <x v="0"/>
    <n v="1"/>
    <n v="4561"/>
    <n v="920.72"/>
  </r>
  <r>
    <x v="220"/>
    <s v="Meera Mishra"/>
    <x v="1"/>
    <x v="12"/>
    <x v="0"/>
    <n v="3"/>
    <n v="159762"/>
    <n v="27938.27"/>
  </r>
  <r>
    <x v="106"/>
    <s v="Neha Rawat"/>
    <x v="4"/>
    <x v="6"/>
    <x v="4"/>
    <n v="5"/>
    <n v="14345"/>
    <n v="2093.88"/>
  </r>
  <r>
    <x v="299"/>
    <s v="Isha Verma"/>
    <x v="3"/>
    <x v="12"/>
    <x v="0"/>
    <n v="7"/>
    <n v="342132"/>
    <n v="58477.83"/>
  </r>
  <r>
    <x v="84"/>
    <s v="Simran Verma"/>
    <x v="3"/>
    <x v="12"/>
    <x v="0"/>
    <n v="12"/>
    <n v="568536"/>
    <n v="80055"/>
  </r>
  <r>
    <x v="9"/>
    <s v="Ankit Chauhan"/>
    <x v="1"/>
    <x v="11"/>
    <x v="4"/>
    <n v="11"/>
    <n v="40348"/>
    <n v="7388.37"/>
  </r>
  <r>
    <x v="198"/>
    <s v="Rahul Mehta"/>
    <x v="4"/>
    <x v="10"/>
    <x v="5"/>
    <n v="7"/>
    <n v="110775"/>
    <n v="9442.3799999999992"/>
  </r>
  <r>
    <x v="280"/>
    <s v="Riya Gupta"/>
    <x v="3"/>
    <x v="7"/>
    <x v="0"/>
    <n v="12"/>
    <n v="48036"/>
    <n v="10349.4"/>
  </r>
  <r>
    <x v="175"/>
    <s v="Aarav Mehta"/>
    <x v="1"/>
    <x v="7"/>
    <x v="0"/>
    <n v="5"/>
    <n v="19280"/>
    <n v="4680.3500000000004"/>
  </r>
  <r>
    <x v="329"/>
    <s v="Isha Rawat"/>
    <x v="1"/>
    <x v="7"/>
    <x v="0"/>
    <n v="2"/>
    <n v="2284"/>
    <n v="184.67"/>
  </r>
  <r>
    <x v="330"/>
    <s v="Ananya Kumar"/>
    <x v="4"/>
    <x v="14"/>
    <x v="3"/>
    <n v="2"/>
    <n v="256"/>
    <n v="29.62"/>
  </r>
  <r>
    <x v="59"/>
    <s v="Rahul Kumar"/>
    <x v="1"/>
    <x v="6"/>
    <x v="4"/>
    <n v="11"/>
    <n v="36289"/>
    <n v="3781.94"/>
  </r>
  <r>
    <x v="267"/>
    <s v="Meera Mishra"/>
    <x v="1"/>
    <x v="13"/>
    <x v="4"/>
    <n v="5"/>
    <n v="4485"/>
    <n v="446.19"/>
  </r>
  <r>
    <x v="201"/>
    <s v="Aditya Gupta"/>
    <x v="1"/>
    <x v="13"/>
    <x v="4"/>
    <n v="9"/>
    <n v="12996"/>
    <n v="2463.9699999999998"/>
  </r>
  <r>
    <x v="253"/>
    <s v="Meera Negi"/>
    <x v="2"/>
    <x v="0"/>
    <x v="0"/>
    <n v="5"/>
    <n v="76085"/>
    <n v="8640.2900000000009"/>
  </r>
  <r>
    <x v="32"/>
    <s v="Isha Verma"/>
    <x v="0"/>
    <x v="8"/>
    <x v="0"/>
    <n v="3"/>
    <n v="47055"/>
    <n v="4564.7"/>
  </r>
  <r>
    <x v="331"/>
    <s v="Ankit Yadav"/>
    <x v="2"/>
    <x v="8"/>
    <x v="0"/>
    <n v="8"/>
    <n v="182128"/>
    <n v="24736.41"/>
  </r>
  <r>
    <x v="84"/>
    <s v="Pooja Singh"/>
    <x v="1"/>
    <x v="7"/>
    <x v="0"/>
    <n v="10"/>
    <n v="37850"/>
    <n v="8225.14"/>
  </r>
  <r>
    <x v="324"/>
    <s v="Pooja Gupta"/>
    <x v="0"/>
    <x v="8"/>
    <x v="0"/>
    <n v="4"/>
    <n v="61032"/>
    <n v="12271.94"/>
  </r>
  <r>
    <x v="207"/>
    <s v="Sneha Negi"/>
    <x v="3"/>
    <x v="7"/>
    <x v="0"/>
    <n v="11"/>
    <n v="38676"/>
    <n v="8866.11"/>
  </r>
  <r>
    <x v="142"/>
    <s v="Rahul Das"/>
    <x v="2"/>
    <x v="11"/>
    <x v="4"/>
    <n v="5"/>
    <n v="25945"/>
    <n v="4508.83"/>
  </r>
  <r>
    <x v="94"/>
    <s v="Karan Gupta"/>
    <x v="2"/>
    <x v="0"/>
    <x v="0"/>
    <n v="5"/>
    <n v="82935"/>
    <n v="19201.150000000001"/>
  </r>
  <r>
    <x v="80"/>
    <s v="Simran Das"/>
    <x v="2"/>
    <x v="0"/>
    <x v="0"/>
    <n v="12"/>
    <n v="173640"/>
    <n v="40225.07"/>
  </r>
  <r>
    <x v="2"/>
    <s v="Meera Kumar"/>
    <x v="4"/>
    <x v="13"/>
    <x v="4"/>
    <n v="10"/>
    <n v="16850"/>
    <n v="2508.5100000000002"/>
  </r>
  <r>
    <x v="57"/>
    <s v="Riya Negi"/>
    <x v="1"/>
    <x v="14"/>
    <x v="3"/>
    <n v="5"/>
    <n v="945"/>
    <n v="219.22"/>
  </r>
  <r>
    <x v="246"/>
    <s v="Meera Yadav"/>
    <x v="3"/>
    <x v="11"/>
    <x v="4"/>
    <n v="3"/>
    <n v="12588"/>
    <n v="1846.97"/>
  </r>
  <r>
    <x v="9"/>
    <s v="Neha Joshi"/>
    <x v="3"/>
    <x v="7"/>
    <x v="0"/>
    <n v="8"/>
    <n v="39240"/>
    <n v="6544.06"/>
  </r>
  <r>
    <x v="136"/>
    <s v="Isha Das"/>
    <x v="3"/>
    <x v="12"/>
    <x v="0"/>
    <n v="11"/>
    <n v="581097"/>
    <n v="130256.91"/>
  </r>
  <r>
    <x v="87"/>
    <s v="Rahul Patel"/>
    <x v="1"/>
    <x v="11"/>
    <x v="4"/>
    <n v="9"/>
    <n v="21141"/>
    <n v="3294.98"/>
  </r>
  <r>
    <x v="188"/>
    <s v="Vivaan Kumar"/>
    <x v="0"/>
    <x v="1"/>
    <x v="1"/>
    <n v="3"/>
    <n v="8040"/>
    <n v="1926.86"/>
  </r>
  <r>
    <x v="321"/>
    <s v="Vivaan Das"/>
    <x v="2"/>
    <x v="4"/>
    <x v="0"/>
    <n v="2"/>
    <n v="2082"/>
    <n v="297.32"/>
  </r>
  <r>
    <x v="248"/>
    <s v="Sneha Tiwari"/>
    <x v="1"/>
    <x v="14"/>
    <x v="3"/>
    <n v="6"/>
    <n v="894"/>
    <n v="142.9"/>
  </r>
  <r>
    <x v="73"/>
    <s v="Simran Das"/>
    <x v="2"/>
    <x v="12"/>
    <x v="0"/>
    <n v="11"/>
    <n v="611809"/>
    <n v="59680.9"/>
  </r>
  <r>
    <x v="107"/>
    <s v="Meera Singh"/>
    <x v="1"/>
    <x v="13"/>
    <x v="4"/>
    <n v="12"/>
    <n v="12468"/>
    <n v="2223.88"/>
  </r>
  <r>
    <x v="332"/>
    <s v="Aditya Mehta"/>
    <x v="2"/>
    <x v="1"/>
    <x v="1"/>
    <n v="7"/>
    <n v="15372"/>
    <n v="2765.51"/>
  </r>
  <r>
    <x v="325"/>
    <s v="Ananya Negi"/>
    <x v="1"/>
    <x v="10"/>
    <x v="5"/>
    <n v="4"/>
    <n v="53840"/>
    <n v="8021.79"/>
  </r>
  <r>
    <x v="200"/>
    <s v="Rohan Negi"/>
    <x v="0"/>
    <x v="6"/>
    <x v="4"/>
    <n v="10"/>
    <n v="12270"/>
    <n v="2028.38"/>
  </r>
  <r>
    <x v="87"/>
    <s v="Karan Singh"/>
    <x v="3"/>
    <x v="4"/>
    <x v="0"/>
    <n v="2"/>
    <n v="3106"/>
    <n v="588.25"/>
  </r>
  <r>
    <x v="309"/>
    <s v="Pooja Chauhan"/>
    <x v="2"/>
    <x v="7"/>
    <x v="0"/>
    <n v="6"/>
    <n v="10614"/>
    <n v="2042.01"/>
  </r>
  <r>
    <x v="32"/>
    <s v="Kavya Kumar"/>
    <x v="1"/>
    <x v="2"/>
    <x v="2"/>
    <n v="2"/>
    <n v="1586"/>
    <n v="308.94"/>
  </r>
  <r>
    <x v="303"/>
    <s v="Vivaan Singh"/>
    <x v="0"/>
    <x v="7"/>
    <x v="0"/>
    <n v="11"/>
    <n v="45826"/>
    <n v="3840.94"/>
  </r>
  <r>
    <x v="227"/>
    <s v="Vivaan Tiwari"/>
    <x v="0"/>
    <x v="5"/>
    <x v="3"/>
    <n v="3"/>
    <n v="342"/>
    <n v="63.96"/>
  </r>
  <r>
    <x v="227"/>
    <s v="Rahul Mehta"/>
    <x v="3"/>
    <x v="7"/>
    <x v="0"/>
    <n v="1"/>
    <n v="2162"/>
    <n v="267.88"/>
  </r>
  <r>
    <x v="300"/>
    <s v="Ankit Verma"/>
    <x v="1"/>
    <x v="5"/>
    <x v="3"/>
    <n v="10"/>
    <n v="2430"/>
    <n v="202.09"/>
  </r>
  <r>
    <x v="169"/>
    <s v="Rahul Kumar"/>
    <x v="2"/>
    <x v="9"/>
    <x v="5"/>
    <n v="10"/>
    <n v="117230"/>
    <n v="26662.959999999999"/>
  </r>
  <r>
    <x v="35"/>
    <s v="Rahul Patel"/>
    <x v="4"/>
    <x v="5"/>
    <x v="3"/>
    <n v="3"/>
    <n v="849"/>
    <n v="152.01"/>
  </r>
  <r>
    <x v="131"/>
    <s v="Priya Tiwari"/>
    <x v="0"/>
    <x v="14"/>
    <x v="3"/>
    <n v="5"/>
    <n v="460"/>
    <n v="93.43"/>
  </r>
  <r>
    <x v="22"/>
    <s v="Neha Singh"/>
    <x v="0"/>
    <x v="5"/>
    <x v="3"/>
    <n v="10"/>
    <n v="970"/>
    <n v="115.5"/>
  </r>
  <r>
    <x v="95"/>
    <s v="Simran Das"/>
    <x v="3"/>
    <x v="12"/>
    <x v="0"/>
    <n v="4"/>
    <n v="248512"/>
    <n v="56196.160000000003"/>
  </r>
  <r>
    <x v="277"/>
    <s v="Kavya Tiwari"/>
    <x v="1"/>
    <x v="13"/>
    <x v="4"/>
    <n v="3"/>
    <n v="5220"/>
    <n v="503.06"/>
  </r>
  <r>
    <x v="276"/>
    <s v="Arjun Verma"/>
    <x v="4"/>
    <x v="5"/>
    <x v="3"/>
    <n v="1"/>
    <n v="280"/>
    <n v="47.7"/>
  </r>
  <r>
    <x v="200"/>
    <s v="Aarav Tiwari"/>
    <x v="4"/>
    <x v="1"/>
    <x v="1"/>
    <n v="3"/>
    <n v="9513"/>
    <n v="1633.18"/>
  </r>
  <r>
    <x v="64"/>
    <s v="Vivaan Yadav"/>
    <x v="4"/>
    <x v="1"/>
    <x v="1"/>
    <n v="7"/>
    <n v="19866"/>
    <n v="3010.02"/>
  </r>
  <r>
    <x v="77"/>
    <s v="Neha Joshi"/>
    <x v="1"/>
    <x v="10"/>
    <x v="5"/>
    <n v="4"/>
    <n v="51596"/>
    <n v="11053.12"/>
  </r>
  <r>
    <x v="4"/>
    <s v="Rohan Gupta"/>
    <x v="2"/>
    <x v="11"/>
    <x v="4"/>
    <n v="12"/>
    <n v="71028"/>
    <n v="6862.15"/>
  </r>
  <r>
    <x v="85"/>
    <s v="Riya Rawat"/>
    <x v="0"/>
    <x v="11"/>
    <x v="4"/>
    <n v="4"/>
    <n v="7544"/>
    <n v="966.8"/>
  </r>
  <r>
    <x v="233"/>
    <s v="Aarav Patel"/>
    <x v="1"/>
    <x v="4"/>
    <x v="0"/>
    <n v="1"/>
    <n v="1952"/>
    <n v="402.93"/>
  </r>
  <r>
    <x v="192"/>
    <s v="Karan Yadav"/>
    <x v="4"/>
    <x v="0"/>
    <x v="0"/>
    <n v="9"/>
    <n v="110115"/>
    <n v="15829.59"/>
  </r>
  <r>
    <x v="299"/>
    <s v="Meera Gupta"/>
    <x v="0"/>
    <x v="10"/>
    <x v="5"/>
    <n v="6"/>
    <n v="40476"/>
    <n v="4303.1000000000004"/>
  </r>
  <r>
    <x v="46"/>
    <s v="Isha Gupta"/>
    <x v="0"/>
    <x v="13"/>
    <x v="4"/>
    <n v="9"/>
    <n v="12303"/>
    <n v="2165.25"/>
  </r>
  <r>
    <x v="19"/>
    <s v="Riya Negi"/>
    <x v="4"/>
    <x v="10"/>
    <x v="5"/>
    <n v="4"/>
    <n v="47080"/>
    <n v="8185.23"/>
  </r>
  <r>
    <x v="333"/>
    <s v="Ankit Patel"/>
    <x v="4"/>
    <x v="8"/>
    <x v="0"/>
    <n v="9"/>
    <n v="214659"/>
    <n v="26433.58"/>
  </r>
  <r>
    <x v="6"/>
    <s v="Arjun Yadav"/>
    <x v="0"/>
    <x v="11"/>
    <x v="4"/>
    <n v="12"/>
    <n v="53532"/>
    <n v="10978.5"/>
  </r>
  <r>
    <x v="119"/>
    <s v="Simran Rawat"/>
    <x v="3"/>
    <x v="9"/>
    <x v="5"/>
    <n v="12"/>
    <n v="79800"/>
    <n v="7744.38"/>
  </r>
  <r>
    <x v="323"/>
    <s v="Aarav Chauhan"/>
    <x v="0"/>
    <x v="11"/>
    <x v="4"/>
    <n v="9"/>
    <n v="14634"/>
    <n v="1570.6"/>
  </r>
  <r>
    <x v="140"/>
    <s v="Pooja Verma"/>
    <x v="2"/>
    <x v="13"/>
    <x v="4"/>
    <n v="3"/>
    <n v="4395"/>
    <n v="1043.3599999999999"/>
  </r>
  <r>
    <x v="30"/>
    <s v="Vivaan Yadav"/>
    <x v="2"/>
    <x v="3"/>
    <x v="0"/>
    <n v="4"/>
    <n v="4236"/>
    <n v="396.52"/>
  </r>
  <r>
    <x v="279"/>
    <s v="Isha Sharma"/>
    <x v="3"/>
    <x v="6"/>
    <x v="4"/>
    <n v="7"/>
    <n v="23338"/>
    <n v="3003.6"/>
  </r>
  <r>
    <x v="236"/>
    <s v="Simran Gupta"/>
    <x v="1"/>
    <x v="1"/>
    <x v="1"/>
    <n v="8"/>
    <n v="19984"/>
    <n v="1635.11"/>
  </r>
  <r>
    <x v="331"/>
    <s v="Aman Patel"/>
    <x v="0"/>
    <x v="12"/>
    <x v="0"/>
    <n v="10"/>
    <n v="617290"/>
    <n v="103512.32000000001"/>
  </r>
  <r>
    <x v="185"/>
    <s v="Aarav Singh"/>
    <x v="2"/>
    <x v="1"/>
    <x v="1"/>
    <n v="1"/>
    <n v="2173"/>
    <n v="262.22000000000003"/>
  </r>
  <r>
    <x v="240"/>
    <s v="Neha Patel"/>
    <x v="0"/>
    <x v="3"/>
    <x v="0"/>
    <n v="7"/>
    <n v="7161"/>
    <n v="1388.11"/>
  </r>
  <r>
    <x v="199"/>
    <s v="Aditya Mehta"/>
    <x v="3"/>
    <x v="14"/>
    <x v="3"/>
    <n v="1"/>
    <n v="238"/>
    <n v="47.51"/>
  </r>
  <r>
    <x v="334"/>
    <s v="Vikash Kumar"/>
    <x v="4"/>
    <x v="2"/>
    <x v="2"/>
    <n v="9"/>
    <n v="8064"/>
    <n v="1122.32"/>
  </r>
  <r>
    <x v="94"/>
    <s v="Aarav Gupta"/>
    <x v="3"/>
    <x v="4"/>
    <x v="0"/>
    <n v="8"/>
    <n v="19232"/>
    <n v="2859.27"/>
  </r>
  <r>
    <x v="236"/>
    <s v="Simran Gupta"/>
    <x v="3"/>
    <x v="10"/>
    <x v="5"/>
    <n v="9"/>
    <n v="60696"/>
    <n v="10619.81"/>
  </r>
  <r>
    <x v="109"/>
    <s v="Meera Gupta"/>
    <x v="3"/>
    <x v="0"/>
    <x v="0"/>
    <n v="9"/>
    <n v="183996"/>
    <n v="42123.9"/>
  </r>
  <r>
    <x v="82"/>
    <s v="Aman Chauhan"/>
    <x v="2"/>
    <x v="9"/>
    <x v="5"/>
    <n v="7"/>
    <n v="92582"/>
    <n v="15018.38"/>
  </r>
  <r>
    <x v="323"/>
    <s v="Aarav Negi"/>
    <x v="3"/>
    <x v="11"/>
    <x v="4"/>
    <n v="8"/>
    <n v="39792"/>
    <n v="9248.02"/>
  </r>
  <r>
    <x v="308"/>
    <s v="Aman Das"/>
    <x v="4"/>
    <x v="3"/>
    <x v="0"/>
    <n v="2"/>
    <n v="2166"/>
    <n v="406.61"/>
  </r>
  <r>
    <x v="290"/>
    <s v="Simran Mehta"/>
    <x v="4"/>
    <x v="4"/>
    <x v="0"/>
    <n v="6"/>
    <n v="8064"/>
    <n v="1954.92"/>
  </r>
  <r>
    <x v="222"/>
    <s v="Neha Das"/>
    <x v="4"/>
    <x v="2"/>
    <x v="2"/>
    <n v="5"/>
    <n v="2770"/>
    <n v="356.88"/>
  </r>
  <r>
    <x v="306"/>
    <s v="Ananya Kumar"/>
    <x v="1"/>
    <x v="0"/>
    <x v="0"/>
    <n v="9"/>
    <n v="160632"/>
    <n v="25864.07"/>
  </r>
  <r>
    <x v="227"/>
    <s v="Karan Negi"/>
    <x v="3"/>
    <x v="3"/>
    <x v="0"/>
    <n v="3"/>
    <n v="5097"/>
    <n v="1213.82"/>
  </r>
  <r>
    <x v="199"/>
    <s v="Karan Kumar"/>
    <x v="4"/>
    <x v="4"/>
    <x v="0"/>
    <n v="12"/>
    <n v="11940"/>
    <n v="2726.69"/>
  </r>
  <r>
    <x v="335"/>
    <s v="Arjun Verma"/>
    <x v="1"/>
    <x v="13"/>
    <x v="4"/>
    <n v="4"/>
    <n v="7064"/>
    <n v="992.67"/>
  </r>
  <r>
    <x v="184"/>
    <s v="Riya Sharma"/>
    <x v="3"/>
    <x v="1"/>
    <x v="1"/>
    <n v="11"/>
    <n v="29887"/>
    <n v="5509.69"/>
  </r>
  <r>
    <x v="200"/>
    <s v="Meera Mishra"/>
    <x v="3"/>
    <x v="8"/>
    <x v="0"/>
    <n v="10"/>
    <n v="183350"/>
    <n v="30014"/>
  </r>
  <r>
    <x v="107"/>
    <s v="Aman Chauhan"/>
    <x v="0"/>
    <x v="9"/>
    <x v="5"/>
    <n v="3"/>
    <n v="37122"/>
    <n v="4738.45"/>
  </r>
  <r>
    <x v="294"/>
    <s v="Riya Sharma"/>
    <x v="3"/>
    <x v="7"/>
    <x v="0"/>
    <n v="1"/>
    <n v="4266"/>
    <n v="688.17"/>
  </r>
  <r>
    <x v="136"/>
    <s v="Arjun Yadav"/>
    <x v="0"/>
    <x v="8"/>
    <x v="0"/>
    <n v="7"/>
    <n v="96089"/>
    <n v="15155.48"/>
  </r>
  <r>
    <x v="271"/>
    <s v="Karan Rawat"/>
    <x v="2"/>
    <x v="9"/>
    <x v="5"/>
    <n v="6"/>
    <n v="24822"/>
    <n v="2035.64"/>
  </r>
  <r>
    <x v="209"/>
    <s v="Vikash Singh"/>
    <x v="2"/>
    <x v="0"/>
    <x v="0"/>
    <n v="6"/>
    <n v="143088"/>
    <n v="26352.84"/>
  </r>
  <r>
    <x v="285"/>
    <s v="Isha Joshi"/>
    <x v="1"/>
    <x v="3"/>
    <x v="0"/>
    <n v="4"/>
    <n v="3404"/>
    <n v="545.08000000000004"/>
  </r>
  <r>
    <x v="223"/>
    <s v="Ananya Joshi"/>
    <x v="0"/>
    <x v="7"/>
    <x v="0"/>
    <n v="8"/>
    <n v="34176"/>
    <n v="3957.26"/>
  </r>
  <r>
    <x v="336"/>
    <s v="Meera Das"/>
    <x v="2"/>
    <x v="3"/>
    <x v="0"/>
    <n v="8"/>
    <n v="5344"/>
    <n v="946.63"/>
  </r>
  <r>
    <x v="119"/>
    <s v="Riya Rawat"/>
    <x v="2"/>
    <x v="13"/>
    <x v="4"/>
    <n v="2"/>
    <n v="2104"/>
    <n v="455.93"/>
  </r>
  <r>
    <x v="143"/>
    <s v="Rohan Negi"/>
    <x v="2"/>
    <x v="4"/>
    <x v="0"/>
    <n v="3"/>
    <n v="6414"/>
    <n v="1558.96"/>
  </r>
  <r>
    <x v="222"/>
    <s v="Simran Mehta"/>
    <x v="3"/>
    <x v="7"/>
    <x v="0"/>
    <n v="7"/>
    <n v="34244"/>
    <n v="3522.34"/>
  </r>
  <r>
    <x v="299"/>
    <s v="Meera Sharma"/>
    <x v="0"/>
    <x v="11"/>
    <x v="4"/>
    <n v="8"/>
    <n v="29256"/>
    <n v="3588.7"/>
  </r>
  <r>
    <x v="264"/>
    <s v="Vikash Negi"/>
    <x v="2"/>
    <x v="0"/>
    <x v="0"/>
    <n v="12"/>
    <n v="208224"/>
    <n v="18783.09"/>
  </r>
  <r>
    <x v="337"/>
    <s v="Ananya Mehta"/>
    <x v="0"/>
    <x v="0"/>
    <x v="0"/>
    <n v="8"/>
    <n v="183728"/>
    <n v="22811.81"/>
  </r>
  <r>
    <x v="112"/>
    <s v="Arjun Joshi"/>
    <x v="4"/>
    <x v="6"/>
    <x v="4"/>
    <n v="5"/>
    <n v="13045"/>
    <n v="1087.5899999999999"/>
  </r>
  <r>
    <x v="64"/>
    <s v="Riya Singh"/>
    <x v="4"/>
    <x v="5"/>
    <x v="3"/>
    <n v="4"/>
    <n v="908"/>
    <n v="161.54"/>
  </r>
  <r>
    <x v="334"/>
    <s v="Sneha Tiwari"/>
    <x v="3"/>
    <x v="8"/>
    <x v="0"/>
    <n v="6"/>
    <n v="148356"/>
    <n v="24163.33"/>
  </r>
  <r>
    <x v="184"/>
    <s v="Rohan Mishra"/>
    <x v="4"/>
    <x v="10"/>
    <x v="5"/>
    <n v="10"/>
    <n v="96940"/>
    <n v="15397.74"/>
  </r>
  <r>
    <x v="141"/>
    <s v="Meera Rawat"/>
    <x v="1"/>
    <x v="1"/>
    <x v="1"/>
    <n v="6"/>
    <n v="14562"/>
    <n v="2727.7"/>
  </r>
  <r>
    <x v="338"/>
    <s v="Priya Das"/>
    <x v="0"/>
    <x v="0"/>
    <x v="0"/>
    <n v="3"/>
    <n v="69777"/>
    <n v="8289.2999999999993"/>
  </r>
  <r>
    <x v="127"/>
    <s v="Vikash Tiwari"/>
    <x v="2"/>
    <x v="2"/>
    <x v="2"/>
    <n v="5"/>
    <n v="4595"/>
    <n v="871.16"/>
  </r>
  <r>
    <x v="158"/>
    <s v="Pooja Singh"/>
    <x v="1"/>
    <x v="11"/>
    <x v="4"/>
    <n v="6"/>
    <n v="32802"/>
    <n v="8008.26"/>
  </r>
  <r>
    <x v="275"/>
    <s v="Vikash Yadav"/>
    <x v="1"/>
    <x v="13"/>
    <x v="4"/>
    <n v="1"/>
    <n v="756"/>
    <n v="154.01"/>
  </r>
  <r>
    <x v="155"/>
    <s v="Arjun Verma"/>
    <x v="4"/>
    <x v="2"/>
    <x v="2"/>
    <n v="2"/>
    <n v="1030"/>
    <n v="111.63"/>
  </r>
  <r>
    <x v="30"/>
    <s v="Neha Mehta"/>
    <x v="0"/>
    <x v="6"/>
    <x v="4"/>
    <n v="8"/>
    <n v="27568"/>
    <n v="2457.6999999999998"/>
  </r>
  <r>
    <x v="339"/>
    <s v="Neha Gupta"/>
    <x v="2"/>
    <x v="0"/>
    <x v="0"/>
    <n v="5"/>
    <n v="161265"/>
    <n v="17158.05"/>
  </r>
  <r>
    <x v="119"/>
    <s v="Rohan Singh"/>
    <x v="1"/>
    <x v="4"/>
    <x v="0"/>
    <n v="12"/>
    <n v="12972"/>
    <n v="2015.04"/>
  </r>
  <r>
    <x v="137"/>
    <s v="Ananya Mishra"/>
    <x v="3"/>
    <x v="13"/>
    <x v="4"/>
    <n v="3"/>
    <n v="1674"/>
    <n v="143.91999999999999"/>
  </r>
  <r>
    <x v="340"/>
    <s v="Riya Tiwari"/>
    <x v="2"/>
    <x v="13"/>
    <x v="4"/>
    <n v="8"/>
    <n v="11648"/>
    <n v="2862.46"/>
  </r>
  <r>
    <x v="81"/>
    <s v="Riya Singh"/>
    <x v="4"/>
    <x v="14"/>
    <x v="3"/>
    <n v="8"/>
    <n v="672"/>
    <n v="164.52"/>
  </r>
  <r>
    <x v="303"/>
    <s v="Meera Rawat"/>
    <x v="0"/>
    <x v="5"/>
    <x v="3"/>
    <n v="8"/>
    <n v="1928"/>
    <n v="399.7"/>
  </r>
  <r>
    <x v="341"/>
    <s v="Ananya Negi"/>
    <x v="3"/>
    <x v="1"/>
    <x v="1"/>
    <n v="11"/>
    <n v="31746"/>
    <n v="4210.87"/>
  </r>
  <r>
    <x v="33"/>
    <s v="Pooja Gupta"/>
    <x v="2"/>
    <x v="4"/>
    <x v="0"/>
    <n v="2"/>
    <n v="2808"/>
    <n v="371.6"/>
  </r>
  <r>
    <x v="5"/>
    <s v="Rohan Joshi"/>
    <x v="2"/>
    <x v="3"/>
    <x v="0"/>
    <n v="1"/>
    <n v="300"/>
    <n v="50.69"/>
  </r>
  <r>
    <x v="216"/>
    <s v="Kavya Chauhan"/>
    <x v="1"/>
    <x v="9"/>
    <x v="5"/>
    <n v="9"/>
    <n v="37224"/>
    <n v="7330.18"/>
  </r>
  <r>
    <x v="85"/>
    <s v="Isha Kumar"/>
    <x v="2"/>
    <x v="3"/>
    <x v="0"/>
    <n v="1"/>
    <n v="1181"/>
    <n v="254.69"/>
  </r>
  <r>
    <x v="177"/>
    <s v="Riya Rawat"/>
    <x v="0"/>
    <x v="14"/>
    <x v="3"/>
    <n v="6"/>
    <n v="588"/>
    <n v="88.2"/>
  </r>
  <r>
    <x v="286"/>
    <s v="Neha Mishra"/>
    <x v="0"/>
    <x v="4"/>
    <x v="0"/>
    <n v="3"/>
    <n v="5892"/>
    <n v="1209.69"/>
  </r>
  <r>
    <x v="245"/>
    <s v="Aman Mehta"/>
    <x v="2"/>
    <x v="4"/>
    <x v="0"/>
    <n v="5"/>
    <n v="3310"/>
    <n v="502.39"/>
  </r>
  <r>
    <x v="219"/>
    <s v="Riya Chauhan"/>
    <x v="1"/>
    <x v="11"/>
    <x v="4"/>
    <n v="12"/>
    <n v="41124"/>
    <n v="5280.12"/>
  </r>
  <r>
    <x v="14"/>
    <s v="Ankit Verma"/>
    <x v="3"/>
    <x v="10"/>
    <x v="5"/>
    <n v="4"/>
    <n v="24484"/>
    <n v="2717.95"/>
  </r>
  <r>
    <x v="153"/>
    <s v="Isha Negi"/>
    <x v="3"/>
    <x v="9"/>
    <x v="5"/>
    <n v="10"/>
    <n v="114180"/>
    <n v="14416.69"/>
  </r>
  <r>
    <x v="133"/>
    <s v="Riya Sharma"/>
    <x v="1"/>
    <x v="8"/>
    <x v="0"/>
    <n v="1"/>
    <n v="12985"/>
    <n v="1148.3599999999999"/>
  </r>
  <r>
    <x v="309"/>
    <s v="Sneha Yadav"/>
    <x v="4"/>
    <x v="0"/>
    <x v="0"/>
    <n v="5"/>
    <n v="104100"/>
    <n v="10540.82"/>
  </r>
  <r>
    <x v="222"/>
    <s v="Karan Joshi"/>
    <x v="0"/>
    <x v="4"/>
    <x v="0"/>
    <n v="2"/>
    <n v="1616"/>
    <n v="133.33000000000001"/>
  </r>
  <r>
    <x v="342"/>
    <s v="Vivaan Joshi"/>
    <x v="4"/>
    <x v="3"/>
    <x v="0"/>
    <n v="8"/>
    <n v="8480"/>
    <n v="1346.85"/>
  </r>
  <r>
    <x v="91"/>
    <s v="Neha Verma"/>
    <x v="1"/>
    <x v="13"/>
    <x v="4"/>
    <n v="3"/>
    <n v="1842"/>
    <n v="230.81"/>
  </r>
  <r>
    <x v="232"/>
    <s v="Vikash Mishra"/>
    <x v="4"/>
    <x v="9"/>
    <x v="5"/>
    <n v="3"/>
    <n v="21444"/>
    <n v="4980.7700000000004"/>
  </r>
  <r>
    <x v="143"/>
    <s v="Aman Rawat"/>
    <x v="1"/>
    <x v="13"/>
    <x v="4"/>
    <n v="1"/>
    <n v="749"/>
    <n v="184.02"/>
  </r>
  <r>
    <x v="71"/>
    <s v="Arjun Mehta"/>
    <x v="3"/>
    <x v="4"/>
    <x v="0"/>
    <n v="12"/>
    <n v="6816"/>
    <n v="776.07"/>
  </r>
  <r>
    <x v="172"/>
    <s v="Ankit Tiwari"/>
    <x v="3"/>
    <x v="4"/>
    <x v="0"/>
    <n v="8"/>
    <n v="10368"/>
    <n v="2030.52"/>
  </r>
  <r>
    <x v="241"/>
    <s v="Riya Mehta"/>
    <x v="4"/>
    <x v="7"/>
    <x v="0"/>
    <n v="11"/>
    <n v="12595"/>
    <n v="2602.17"/>
  </r>
  <r>
    <x v="205"/>
    <s v="Ananya Tiwari"/>
    <x v="4"/>
    <x v="3"/>
    <x v="0"/>
    <n v="8"/>
    <n v="12856"/>
    <n v="1681.54"/>
  </r>
  <r>
    <x v="296"/>
    <s v="Aman Das"/>
    <x v="0"/>
    <x v="13"/>
    <x v="4"/>
    <n v="11"/>
    <n v="10406"/>
    <n v="2554.2199999999998"/>
  </r>
  <r>
    <x v="261"/>
    <s v="Meera Verma"/>
    <x v="3"/>
    <x v="8"/>
    <x v="0"/>
    <n v="1"/>
    <n v="13484"/>
    <n v="2899.69"/>
  </r>
  <r>
    <x v="286"/>
    <s v="Meera Chauhan"/>
    <x v="0"/>
    <x v="11"/>
    <x v="4"/>
    <n v="4"/>
    <n v="5092"/>
    <n v="1246.02"/>
  </r>
  <r>
    <x v="343"/>
    <s v="Aditya Kumar"/>
    <x v="4"/>
    <x v="9"/>
    <x v="5"/>
    <n v="12"/>
    <n v="165216"/>
    <n v="17570.5"/>
  </r>
  <r>
    <x v="50"/>
    <s v="Vivaan Sharma"/>
    <x v="1"/>
    <x v="9"/>
    <x v="5"/>
    <n v="2"/>
    <n v="28270"/>
    <n v="3888.02"/>
  </r>
  <r>
    <x v="344"/>
    <s v="Rohan Negi"/>
    <x v="3"/>
    <x v="1"/>
    <x v="1"/>
    <n v="3"/>
    <n v="8688"/>
    <n v="1864"/>
  </r>
  <r>
    <x v="250"/>
    <s v="Sneha Yadav"/>
    <x v="1"/>
    <x v="8"/>
    <x v="0"/>
    <n v="9"/>
    <n v="174420"/>
    <n v="37838.559999999998"/>
  </r>
  <r>
    <x v="105"/>
    <s v="Rohan Gupta"/>
    <x v="0"/>
    <x v="12"/>
    <x v="0"/>
    <n v="12"/>
    <n v="688536"/>
    <n v="97006.79"/>
  </r>
  <r>
    <x v="118"/>
    <s v="Riya Yadav"/>
    <x v="0"/>
    <x v="9"/>
    <x v="5"/>
    <n v="12"/>
    <n v="134016"/>
    <n v="23457.39"/>
  </r>
  <r>
    <x v="54"/>
    <s v="Priya Yadav"/>
    <x v="2"/>
    <x v="4"/>
    <x v="0"/>
    <n v="10"/>
    <n v="8820"/>
    <n v="1520.7"/>
  </r>
  <r>
    <x v="345"/>
    <s v="Simran Singh"/>
    <x v="3"/>
    <x v="3"/>
    <x v="0"/>
    <n v="10"/>
    <n v="14350"/>
    <n v="1539.16"/>
  </r>
  <r>
    <x v="100"/>
    <s v="Aarav Chauhan"/>
    <x v="3"/>
    <x v="3"/>
    <x v="0"/>
    <n v="5"/>
    <n v="7045"/>
    <n v="1003.27"/>
  </r>
  <r>
    <x v="153"/>
    <s v="Aarav Patel"/>
    <x v="0"/>
    <x v="14"/>
    <x v="3"/>
    <n v="7"/>
    <n v="1659"/>
    <n v="185.05"/>
  </r>
  <r>
    <x v="10"/>
    <s v="Aditya Das"/>
    <x v="1"/>
    <x v="11"/>
    <x v="4"/>
    <n v="10"/>
    <n v="31560"/>
    <n v="4245.3900000000003"/>
  </r>
  <r>
    <x v="330"/>
    <s v="Kavya Chauhan"/>
    <x v="3"/>
    <x v="13"/>
    <x v="4"/>
    <n v="7"/>
    <n v="6216"/>
    <n v="1051.08"/>
  </r>
  <r>
    <x v="132"/>
    <s v="Priya Verma"/>
    <x v="0"/>
    <x v="7"/>
    <x v="0"/>
    <n v="10"/>
    <n v="31190"/>
    <n v="4205.72"/>
  </r>
  <r>
    <x v="259"/>
    <s v="Rohan Singh"/>
    <x v="2"/>
    <x v="14"/>
    <x v="3"/>
    <n v="11"/>
    <n v="737"/>
    <n v="64.44"/>
  </r>
  <r>
    <x v="262"/>
    <s v="Vivaan Patel"/>
    <x v="4"/>
    <x v="4"/>
    <x v="0"/>
    <n v="2"/>
    <n v="2988"/>
    <n v="336.37"/>
  </r>
  <r>
    <x v="244"/>
    <s v="Meera Gupta"/>
    <x v="3"/>
    <x v="13"/>
    <x v="4"/>
    <n v="7"/>
    <n v="10521"/>
    <n v="1782.15"/>
  </r>
  <r>
    <x v="39"/>
    <s v="Karan Das"/>
    <x v="4"/>
    <x v="8"/>
    <x v="0"/>
    <n v="4"/>
    <n v="41288"/>
    <n v="3394.89"/>
  </r>
  <r>
    <x v="108"/>
    <s v="Vivaan Joshi"/>
    <x v="1"/>
    <x v="6"/>
    <x v="4"/>
    <n v="2"/>
    <n v="6234"/>
    <n v="1347.62"/>
  </r>
  <r>
    <x v="112"/>
    <s v="Vivaan Mishra"/>
    <x v="2"/>
    <x v="2"/>
    <x v="2"/>
    <n v="7"/>
    <n v="7987"/>
    <n v="1140.08"/>
  </r>
  <r>
    <x v="267"/>
    <s v="Ankit Verma"/>
    <x v="3"/>
    <x v="3"/>
    <x v="0"/>
    <n v="9"/>
    <n v="3447"/>
    <n v="706.05"/>
  </r>
  <r>
    <x v="169"/>
    <s v="Riya Rawat"/>
    <x v="4"/>
    <x v="14"/>
    <x v="3"/>
    <n v="2"/>
    <n v="150"/>
    <n v="30.49"/>
  </r>
  <r>
    <x v="37"/>
    <s v="Rahul Mehta"/>
    <x v="4"/>
    <x v="4"/>
    <x v="0"/>
    <n v="9"/>
    <n v="16605"/>
    <n v="2030.62"/>
  </r>
  <r>
    <x v="112"/>
    <s v="Meera Joshi"/>
    <x v="0"/>
    <x v="10"/>
    <x v="5"/>
    <n v="12"/>
    <n v="80736"/>
    <n v="16976.21"/>
  </r>
  <r>
    <x v="139"/>
    <s v="Arjun Singh"/>
    <x v="4"/>
    <x v="9"/>
    <x v="5"/>
    <n v="12"/>
    <n v="178788"/>
    <n v="27283.54"/>
  </r>
  <r>
    <x v="174"/>
    <s v="Rahul Mehta"/>
    <x v="1"/>
    <x v="14"/>
    <x v="3"/>
    <n v="7"/>
    <n v="1253"/>
    <n v="172.13"/>
  </r>
  <r>
    <x v="289"/>
    <s v="Priya Mishra"/>
    <x v="4"/>
    <x v="9"/>
    <x v="5"/>
    <n v="6"/>
    <n v="54978"/>
    <n v="9539.44"/>
  </r>
  <r>
    <x v="293"/>
    <s v="Priya Patel"/>
    <x v="1"/>
    <x v="10"/>
    <x v="5"/>
    <n v="11"/>
    <n v="132594"/>
    <n v="29229.86"/>
  </r>
  <r>
    <x v="206"/>
    <s v="Riya Tiwari"/>
    <x v="1"/>
    <x v="5"/>
    <x v="3"/>
    <n v="9"/>
    <n v="1206"/>
    <n v="173.38"/>
  </r>
  <r>
    <x v="178"/>
    <s v="Aarav Yadav"/>
    <x v="0"/>
    <x v="8"/>
    <x v="0"/>
    <n v="8"/>
    <n v="181304"/>
    <n v="44087.72"/>
  </r>
  <r>
    <x v="305"/>
    <s v="Ankit Sharma"/>
    <x v="2"/>
    <x v="3"/>
    <x v="0"/>
    <n v="10"/>
    <n v="3330"/>
    <n v="559.41999999999996"/>
  </r>
  <r>
    <x v="313"/>
    <s v="Vikash Tiwari"/>
    <x v="1"/>
    <x v="4"/>
    <x v="0"/>
    <n v="4"/>
    <n v="9008"/>
    <n v="1202.8699999999999"/>
  </r>
  <r>
    <x v="310"/>
    <s v="Rohan Verma"/>
    <x v="4"/>
    <x v="14"/>
    <x v="3"/>
    <n v="9"/>
    <n v="1764"/>
    <n v="418.79"/>
  </r>
  <r>
    <x v="61"/>
    <s v="Ananya Tiwari"/>
    <x v="4"/>
    <x v="9"/>
    <x v="5"/>
    <n v="6"/>
    <n v="39342"/>
    <n v="4073.05"/>
  </r>
  <r>
    <x v="17"/>
    <s v="Aditya Patel"/>
    <x v="1"/>
    <x v="4"/>
    <x v="0"/>
    <n v="4"/>
    <n v="4096"/>
    <n v="892.45"/>
  </r>
  <r>
    <x v="75"/>
    <s v="Priya Chauhan"/>
    <x v="4"/>
    <x v="5"/>
    <x v="3"/>
    <n v="4"/>
    <n v="1068"/>
    <n v="99.46"/>
  </r>
  <r>
    <x v="231"/>
    <s v="Ankit Sharma"/>
    <x v="3"/>
    <x v="7"/>
    <x v="0"/>
    <n v="8"/>
    <n v="12648"/>
    <n v="2291.6799999999998"/>
  </r>
  <r>
    <x v="294"/>
    <s v="Priya Joshi"/>
    <x v="0"/>
    <x v="10"/>
    <x v="5"/>
    <n v="2"/>
    <n v="35562"/>
    <n v="3183.04"/>
  </r>
  <r>
    <x v="261"/>
    <s v="Isha Tiwari"/>
    <x v="4"/>
    <x v="10"/>
    <x v="5"/>
    <n v="2"/>
    <n v="35244"/>
    <n v="4177.8900000000003"/>
  </r>
  <r>
    <x v="292"/>
    <s v="Simran Sharma"/>
    <x v="0"/>
    <x v="1"/>
    <x v="1"/>
    <n v="11"/>
    <n v="24926"/>
    <n v="2223.44"/>
  </r>
  <r>
    <x v="255"/>
    <s v="Aman Singh"/>
    <x v="1"/>
    <x v="14"/>
    <x v="3"/>
    <n v="10"/>
    <n v="880"/>
    <n v="119.29"/>
  </r>
  <r>
    <x v="39"/>
    <s v="Isha Patel"/>
    <x v="1"/>
    <x v="1"/>
    <x v="1"/>
    <n v="12"/>
    <n v="27708"/>
    <n v="6790.59"/>
  </r>
  <r>
    <x v="78"/>
    <s v="Neha Singh"/>
    <x v="1"/>
    <x v="0"/>
    <x v="0"/>
    <n v="4"/>
    <n v="104612"/>
    <n v="13522.47"/>
  </r>
  <r>
    <x v="47"/>
    <s v="Vivaan Mehta"/>
    <x v="0"/>
    <x v="8"/>
    <x v="0"/>
    <n v="2"/>
    <n v="47184"/>
    <n v="8358.4"/>
  </r>
  <r>
    <x v="75"/>
    <s v="Rohan Chauhan"/>
    <x v="4"/>
    <x v="3"/>
    <x v="0"/>
    <n v="2"/>
    <n v="2232"/>
    <n v="368.97"/>
  </r>
  <r>
    <x v="129"/>
    <s v="Meera Kumar"/>
    <x v="3"/>
    <x v="9"/>
    <x v="5"/>
    <n v="9"/>
    <n v="65205"/>
    <n v="10624.27"/>
  </r>
  <r>
    <x v="154"/>
    <s v="Aditya Gupta"/>
    <x v="0"/>
    <x v="5"/>
    <x v="3"/>
    <n v="12"/>
    <n v="2568"/>
    <n v="312.94"/>
  </r>
  <r>
    <x v="176"/>
    <s v="Pooja Rawat"/>
    <x v="3"/>
    <x v="8"/>
    <x v="0"/>
    <n v="11"/>
    <n v="120285"/>
    <n v="11923.86"/>
  </r>
  <r>
    <x v="223"/>
    <s v="Aarav Chauhan"/>
    <x v="4"/>
    <x v="8"/>
    <x v="0"/>
    <n v="4"/>
    <n v="74036"/>
    <n v="10259.11"/>
  </r>
  <r>
    <x v="62"/>
    <s v="Sneha Sharma"/>
    <x v="4"/>
    <x v="7"/>
    <x v="0"/>
    <n v="6"/>
    <n v="26532"/>
    <n v="4933.3900000000003"/>
  </r>
  <r>
    <x v="250"/>
    <s v="Aditya Verma"/>
    <x v="0"/>
    <x v="4"/>
    <x v="0"/>
    <n v="11"/>
    <n v="13915"/>
    <n v="1482.21"/>
  </r>
  <r>
    <x v="201"/>
    <s v="Ankit Sharma"/>
    <x v="2"/>
    <x v="4"/>
    <x v="0"/>
    <n v="10"/>
    <n v="23970"/>
    <n v="2519.37"/>
  </r>
  <r>
    <x v="306"/>
    <s v="Aarav Joshi"/>
    <x v="3"/>
    <x v="2"/>
    <x v="2"/>
    <n v="2"/>
    <n v="1224"/>
    <n v="191.57"/>
  </r>
  <r>
    <x v="70"/>
    <s v="Simran Chauhan"/>
    <x v="1"/>
    <x v="2"/>
    <x v="2"/>
    <n v="9"/>
    <n v="4644"/>
    <n v="532.41999999999996"/>
  </r>
  <r>
    <x v="79"/>
    <s v="Rohan Yadav"/>
    <x v="3"/>
    <x v="14"/>
    <x v="3"/>
    <n v="8"/>
    <n v="1672"/>
    <n v="341.23"/>
  </r>
  <r>
    <x v="291"/>
    <s v="Simran Sharma"/>
    <x v="4"/>
    <x v="1"/>
    <x v="1"/>
    <n v="1"/>
    <n v="2242"/>
    <n v="401.57"/>
  </r>
  <r>
    <x v="178"/>
    <s v="Isha Gupta"/>
    <x v="4"/>
    <x v="7"/>
    <x v="0"/>
    <n v="1"/>
    <n v="3126"/>
    <n v="356.73"/>
  </r>
  <r>
    <x v="201"/>
    <s v="Vikash Das"/>
    <x v="0"/>
    <x v="9"/>
    <x v="5"/>
    <n v="11"/>
    <n v="45496"/>
    <n v="4154.7700000000004"/>
  </r>
  <r>
    <x v="131"/>
    <s v="Neha Kumar"/>
    <x v="2"/>
    <x v="8"/>
    <x v="0"/>
    <n v="2"/>
    <n v="17250"/>
    <n v="2237.7399999999998"/>
  </r>
  <r>
    <x v="40"/>
    <s v="Kavya Mishra"/>
    <x v="1"/>
    <x v="14"/>
    <x v="3"/>
    <n v="12"/>
    <n v="900"/>
    <n v="210.29"/>
  </r>
  <r>
    <x v="302"/>
    <s v="Sneha Mehta"/>
    <x v="3"/>
    <x v="14"/>
    <x v="3"/>
    <n v="2"/>
    <n v="194"/>
    <n v="22.08"/>
  </r>
  <r>
    <x v="167"/>
    <s v="Ankit Joshi"/>
    <x v="2"/>
    <x v="12"/>
    <x v="0"/>
    <n v="1"/>
    <n v="53106"/>
    <n v="12574.75"/>
  </r>
  <r>
    <x v="54"/>
    <s v="Ananya Joshi"/>
    <x v="1"/>
    <x v="10"/>
    <x v="5"/>
    <n v="12"/>
    <n v="90864"/>
    <n v="7552.91"/>
  </r>
  <r>
    <x v="80"/>
    <s v="Vivaan Das"/>
    <x v="4"/>
    <x v="3"/>
    <x v="0"/>
    <n v="4"/>
    <n v="5304"/>
    <n v="673.07"/>
  </r>
  <r>
    <x v="233"/>
    <s v="Vikash Kumar"/>
    <x v="4"/>
    <x v="6"/>
    <x v="4"/>
    <n v="7"/>
    <n v="9240"/>
    <n v="2222.25"/>
  </r>
  <r>
    <x v="228"/>
    <s v="Neha Mehta"/>
    <x v="0"/>
    <x v="8"/>
    <x v="0"/>
    <n v="7"/>
    <n v="87479"/>
    <n v="8303.9599999999991"/>
  </r>
  <r>
    <x v="64"/>
    <s v="Aman Patel"/>
    <x v="0"/>
    <x v="5"/>
    <x v="3"/>
    <n v="11"/>
    <n v="2805"/>
    <n v="332.85"/>
  </r>
  <r>
    <x v="170"/>
    <s v="Riya Singh"/>
    <x v="3"/>
    <x v="10"/>
    <x v="5"/>
    <n v="5"/>
    <n v="74590"/>
    <n v="10142.629999999999"/>
  </r>
  <r>
    <x v="248"/>
    <s v="Karan Mishra"/>
    <x v="2"/>
    <x v="1"/>
    <x v="1"/>
    <n v="3"/>
    <n v="9237"/>
    <n v="1589.04"/>
  </r>
  <r>
    <x v="215"/>
    <s v="Rohan Rawat"/>
    <x v="2"/>
    <x v="3"/>
    <x v="0"/>
    <n v="12"/>
    <n v="20928"/>
    <n v="4871.3999999999996"/>
  </r>
  <r>
    <x v="203"/>
    <s v="Riya Mehta"/>
    <x v="1"/>
    <x v="1"/>
    <x v="1"/>
    <n v="10"/>
    <n v="13470"/>
    <n v="1804.63"/>
  </r>
  <r>
    <x v="314"/>
    <s v="Priya Tiwari"/>
    <x v="3"/>
    <x v="7"/>
    <x v="0"/>
    <n v="6"/>
    <n v="11952"/>
    <n v="2433.4699999999998"/>
  </r>
  <r>
    <x v="59"/>
    <s v="Vikash Singh"/>
    <x v="0"/>
    <x v="10"/>
    <x v="5"/>
    <n v="5"/>
    <n v="61290"/>
    <n v="12671.93"/>
  </r>
  <r>
    <x v="133"/>
    <s v="Isha Patel"/>
    <x v="3"/>
    <x v="0"/>
    <x v="0"/>
    <n v="3"/>
    <n v="54159"/>
    <n v="4573.93"/>
  </r>
  <r>
    <x v="117"/>
    <s v="Aman Kumar"/>
    <x v="4"/>
    <x v="5"/>
    <x v="3"/>
    <n v="10"/>
    <n v="2360"/>
    <n v="281.44"/>
  </r>
  <r>
    <x v="116"/>
    <s v="Kavya Singh"/>
    <x v="0"/>
    <x v="12"/>
    <x v="0"/>
    <n v="6"/>
    <n v="285624"/>
    <n v="56263.360000000001"/>
  </r>
  <r>
    <x v="136"/>
    <s v="Ananya Singh"/>
    <x v="2"/>
    <x v="13"/>
    <x v="4"/>
    <n v="10"/>
    <n v="14600"/>
    <n v="2935.23"/>
  </r>
  <r>
    <x v="157"/>
    <s v="Aman Sharma"/>
    <x v="0"/>
    <x v="9"/>
    <x v="5"/>
    <n v="8"/>
    <n v="50024"/>
    <n v="5394.77"/>
  </r>
  <r>
    <x v="193"/>
    <s v="Aman Yadav"/>
    <x v="4"/>
    <x v="11"/>
    <x v="4"/>
    <n v="1"/>
    <n v="3410"/>
    <n v="823.63"/>
  </r>
  <r>
    <x v="253"/>
    <s v="Sneha Mishra"/>
    <x v="0"/>
    <x v="4"/>
    <x v="0"/>
    <n v="4"/>
    <n v="2540"/>
    <n v="279.66000000000003"/>
  </r>
  <r>
    <x v="267"/>
    <s v="Aman Rawat"/>
    <x v="2"/>
    <x v="9"/>
    <x v="5"/>
    <n v="12"/>
    <n v="111876"/>
    <n v="25435.200000000001"/>
  </r>
  <r>
    <x v="300"/>
    <s v="Neha Patel"/>
    <x v="4"/>
    <x v="11"/>
    <x v="4"/>
    <n v="1"/>
    <n v="4316"/>
    <n v="873.71"/>
  </r>
  <r>
    <x v="147"/>
    <s v="Vivaan Mehta"/>
    <x v="1"/>
    <x v="5"/>
    <x v="3"/>
    <n v="9"/>
    <n v="1926"/>
    <n v="364.09"/>
  </r>
  <r>
    <x v="95"/>
    <s v="Aman Mehta"/>
    <x v="3"/>
    <x v="9"/>
    <x v="5"/>
    <n v="8"/>
    <n v="37552"/>
    <n v="8607.77"/>
  </r>
  <r>
    <x v="330"/>
    <s v="Simran Chauhan"/>
    <x v="1"/>
    <x v="10"/>
    <x v="5"/>
    <n v="12"/>
    <n v="67716"/>
    <n v="11837.38"/>
  </r>
  <r>
    <x v="337"/>
    <s v="Ankit Chauhan"/>
    <x v="4"/>
    <x v="12"/>
    <x v="0"/>
    <n v="4"/>
    <n v="218164"/>
    <n v="33755.24"/>
  </r>
  <r>
    <x v="216"/>
    <s v="Vivaan Yadav"/>
    <x v="4"/>
    <x v="9"/>
    <x v="5"/>
    <n v="3"/>
    <n v="32763"/>
    <n v="4260.87"/>
  </r>
  <r>
    <x v="328"/>
    <s v="Sneha Verma"/>
    <x v="4"/>
    <x v="6"/>
    <x v="4"/>
    <n v="3"/>
    <n v="9294"/>
    <n v="2054.7399999999998"/>
  </r>
  <r>
    <x v="346"/>
    <s v="Riya Singh"/>
    <x v="2"/>
    <x v="0"/>
    <x v="0"/>
    <n v="3"/>
    <n v="93549"/>
    <n v="22398.74"/>
  </r>
  <r>
    <x v="88"/>
    <s v="Sneha Patel"/>
    <x v="4"/>
    <x v="10"/>
    <x v="5"/>
    <n v="6"/>
    <n v="74322"/>
    <n v="6260.52"/>
  </r>
  <r>
    <x v="167"/>
    <s v="Priya Yadav"/>
    <x v="3"/>
    <x v="6"/>
    <x v="4"/>
    <n v="4"/>
    <n v="12248"/>
    <n v="1167.6099999999999"/>
  </r>
  <r>
    <x v="29"/>
    <s v="Arjun Verma"/>
    <x v="2"/>
    <x v="6"/>
    <x v="4"/>
    <n v="12"/>
    <n v="22452"/>
    <n v="4538.08"/>
  </r>
  <r>
    <x v="150"/>
    <s v="Simran Yadav"/>
    <x v="4"/>
    <x v="2"/>
    <x v="2"/>
    <n v="8"/>
    <n v="7592"/>
    <n v="1075.79"/>
  </r>
  <r>
    <x v="279"/>
    <s v="Neha Mehta"/>
    <x v="2"/>
    <x v="2"/>
    <x v="2"/>
    <n v="9"/>
    <n v="8334"/>
    <n v="2012.31"/>
  </r>
  <r>
    <x v="40"/>
    <s v="Rohan Singh"/>
    <x v="3"/>
    <x v="12"/>
    <x v="0"/>
    <n v="3"/>
    <n v="167949"/>
    <n v="29581.46"/>
  </r>
  <r>
    <x v="203"/>
    <s v="Ankit Yadav"/>
    <x v="3"/>
    <x v="7"/>
    <x v="0"/>
    <n v="12"/>
    <n v="14640"/>
    <n v="2215.4499999999998"/>
  </r>
  <r>
    <x v="213"/>
    <s v="Rohan Kumar"/>
    <x v="2"/>
    <x v="3"/>
    <x v="0"/>
    <n v="11"/>
    <n v="7370"/>
    <n v="736.88"/>
  </r>
  <r>
    <x v="55"/>
    <s v="Kavya Mehta"/>
    <x v="0"/>
    <x v="5"/>
    <x v="3"/>
    <n v="5"/>
    <n v="415"/>
    <n v="65.56"/>
  </r>
  <r>
    <x v="324"/>
    <s v="Kavya Negi"/>
    <x v="1"/>
    <x v="5"/>
    <x v="3"/>
    <n v="8"/>
    <n v="1120"/>
    <n v="130.88999999999999"/>
  </r>
  <r>
    <x v="193"/>
    <s v="Aman Tiwari"/>
    <x v="4"/>
    <x v="9"/>
    <x v="5"/>
    <n v="2"/>
    <n v="27700"/>
    <n v="5041.88"/>
  </r>
  <r>
    <x v="285"/>
    <s v="Karan Sharma"/>
    <x v="1"/>
    <x v="3"/>
    <x v="0"/>
    <n v="10"/>
    <n v="15870"/>
    <n v="2773.81"/>
  </r>
  <r>
    <x v="275"/>
    <s v="Vivaan Das"/>
    <x v="3"/>
    <x v="7"/>
    <x v="0"/>
    <n v="1"/>
    <n v="3659"/>
    <n v="315.56"/>
  </r>
  <r>
    <x v="294"/>
    <s v="Aditya Sharma"/>
    <x v="1"/>
    <x v="13"/>
    <x v="4"/>
    <n v="10"/>
    <n v="11110"/>
    <n v="1514.17"/>
  </r>
  <r>
    <x v="95"/>
    <s v="Isha Das"/>
    <x v="0"/>
    <x v="10"/>
    <x v="5"/>
    <n v="3"/>
    <n v="22929"/>
    <n v="4454.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DCE581-4C84-464E-9304-75C4526D598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3:H9" firstHeaderRow="0" firstDataRow="1" firstDataCol="1"/>
  <pivotFields count="10">
    <pivotField numFmtId="14" showAll="0">
      <items count="348">
        <item x="24"/>
        <item x="55"/>
        <item x="324"/>
        <item x="177"/>
        <item x="222"/>
        <item x="292"/>
        <item x="258"/>
        <item x="162"/>
        <item x="208"/>
        <item x="180"/>
        <item x="92"/>
        <item x="318"/>
        <item x="273"/>
        <item x="307"/>
        <item x="101"/>
        <item x="2"/>
        <item x="262"/>
        <item x="305"/>
        <item x="57"/>
        <item x="61"/>
        <item x="118"/>
        <item x="58"/>
        <item x="295"/>
        <item x="73"/>
        <item x="39"/>
        <item x="296"/>
        <item x="201"/>
        <item x="189"/>
        <item x="43"/>
        <item x="257"/>
        <item x="191"/>
        <item x="30"/>
        <item x="110"/>
        <item x="274"/>
        <item x="160"/>
        <item x="338"/>
        <item x="220"/>
        <item x="284"/>
        <item x="266"/>
        <item x="184"/>
        <item x="91"/>
        <item x="339"/>
        <item x="72"/>
        <item x="240"/>
        <item x="235"/>
        <item x="140"/>
        <item x="126"/>
        <item x="287"/>
        <item x="259"/>
        <item x="168"/>
        <item x="196"/>
        <item x="1"/>
        <item x="319"/>
        <item x="23"/>
        <item x="95"/>
        <item x="239"/>
        <item x="150"/>
        <item x="308"/>
        <item x="314"/>
        <item x="288"/>
        <item x="205"/>
        <item x="7"/>
        <item x="163"/>
        <item x="68"/>
        <item x="179"/>
        <item x="47"/>
        <item x="52"/>
        <item x="129"/>
        <item x="215"/>
        <item x="204"/>
        <item x="195"/>
        <item x="203"/>
        <item x="161"/>
        <item x="111"/>
        <item x="228"/>
        <item x="170"/>
        <item x="5"/>
        <item x="50"/>
        <item x="316"/>
        <item x="122"/>
        <item x="225"/>
        <item x="87"/>
        <item x="141"/>
        <item x="185"/>
        <item x="182"/>
        <item x="217"/>
        <item x="236"/>
        <item x="304"/>
        <item x="333"/>
        <item x="174"/>
        <item x="211"/>
        <item x="275"/>
        <item x="309"/>
        <item x="133"/>
        <item x="37"/>
        <item x="105"/>
        <item x="331"/>
        <item x="298"/>
        <item x="3"/>
        <item x="199"/>
        <item x="335"/>
        <item x="252"/>
        <item x="248"/>
        <item x="70"/>
        <item x="28"/>
        <item x="301"/>
        <item x="169"/>
        <item x="93"/>
        <item x="280"/>
        <item x="165"/>
        <item x="202"/>
        <item x="173"/>
        <item x="106"/>
        <item x="119"/>
        <item x="115"/>
        <item x="250"/>
        <item x="44"/>
        <item x="282"/>
        <item x="125"/>
        <item x="206"/>
        <item x="128"/>
        <item x="12"/>
        <item x="16"/>
        <item x="38"/>
        <item x="325"/>
        <item x="178"/>
        <item x="233"/>
        <item x="79"/>
        <item x="46"/>
        <item x="281"/>
        <item x="49"/>
        <item x="117"/>
        <item x="14"/>
        <item x="98"/>
        <item x="81"/>
        <item x="107"/>
        <item x="311"/>
        <item x="120"/>
        <item x="312"/>
        <item x="53"/>
        <item x="334"/>
        <item x="216"/>
        <item x="124"/>
        <item x="9"/>
        <item x="127"/>
        <item x="102"/>
        <item x="149"/>
        <item x="315"/>
        <item x="313"/>
        <item x="146"/>
        <item x="156"/>
        <item x="62"/>
        <item x="25"/>
        <item x="67"/>
        <item x="42"/>
        <item x="299"/>
        <item x="134"/>
        <item x="255"/>
        <item x="254"/>
        <item x="241"/>
        <item x="340"/>
        <item x="90"/>
        <item x="63"/>
        <item x="32"/>
        <item x="268"/>
        <item x="269"/>
        <item x="197"/>
        <item x="323"/>
        <item x="109"/>
        <item x="306"/>
        <item x="6"/>
        <item x="218"/>
        <item x="186"/>
        <item x="104"/>
        <item x="260"/>
        <item x="344"/>
        <item x="142"/>
        <item x="207"/>
        <item x="8"/>
        <item x="10"/>
        <item x="223"/>
        <item x="152"/>
        <item x="293"/>
        <item x="317"/>
        <item x="332"/>
        <item x="245"/>
        <item x="40"/>
        <item x="143"/>
        <item x="279"/>
        <item x="65"/>
        <item x="157"/>
        <item x="272"/>
        <item x="88"/>
        <item x="286"/>
        <item x="264"/>
        <item x="75"/>
        <item x="336"/>
        <item x="36"/>
        <item x="300"/>
        <item x="34"/>
        <item x="193"/>
        <item x="35"/>
        <item x="59"/>
        <item x="74"/>
        <item x="256"/>
        <item x="277"/>
        <item x="342"/>
        <item x="41"/>
        <item x="76"/>
        <item x="283"/>
        <item x="176"/>
        <item x="171"/>
        <item x="261"/>
        <item x="183"/>
        <item x="198"/>
        <item x="148"/>
        <item x="71"/>
        <item x="158"/>
        <item x="213"/>
        <item x="164"/>
        <item x="100"/>
        <item x="22"/>
        <item x="224"/>
        <item x="48"/>
        <item x="230"/>
        <item x="89"/>
        <item x="247"/>
        <item x="144"/>
        <item x="345"/>
        <item x="121"/>
        <item x="229"/>
        <item x="103"/>
        <item x="27"/>
        <item x="85"/>
        <item x="226"/>
        <item x="200"/>
        <item x="231"/>
        <item x="26"/>
        <item x="321"/>
        <item x="54"/>
        <item x="108"/>
        <item x="18"/>
        <item x="237"/>
        <item x="270"/>
        <item x="346"/>
        <item x="136"/>
        <item x="78"/>
        <item x="130"/>
        <item x="320"/>
        <item x="214"/>
        <item x="221"/>
        <item x="328"/>
        <item x="271"/>
        <item x="66"/>
        <item x="192"/>
        <item x="341"/>
        <item x="137"/>
        <item x="20"/>
        <item x="77"/>
        <item x="21"/>
        <item x="330"/>
        <item x="33"/>
        <item x="83"/>
        <item x="232"/>
        <item x="86"/>
        <item x="285"/>
        <item x="123"/>
        <item x="132"/>
        <item x="310"/>
        <item x="329"/>
        <item x="112"/>
        <item x="243"/>
        <item x="154"/>
        <item x="242"/>
        <item x="188"/>
        <item x="238"/>
        <item x="69"/>
        <item x="147"/>
        <item x="227"/>
        <item x="294"/>
        <item x="209"/>
        <item x="17"/>
        <item x="84"/>
        <item x="145"/>
        <item x="4"/>
        <item x="303"/>
        <item x="99"/>
        <item x="190"/>
        <item x="302"/>
        <item x="265"/>
        <item x="289"/>
        <item x="326"/>
        <item x="322"/>
        <item x="94"/>
        <item x="166"/>
        <item x="113"/>
        <item x="219"/>
        <item x="276"/>
        <item x="267"/>
        <item x="327"/>
        <item x="45"/>
        <item x="297"/>
        <item x="138"/>
        <item x="80"/>
        <item x="187"/>
        <item x="337"/>
        <item x="175"/>
        <item x="278"/>
        <item x="153"/>
        <item x="0"/>
        <item x="244"/>
        <item x="210"/>
        <item x="159"/>
        <item x="97"/>
        <item x="29"/>
        <item x="234"/>
        <item x="246"/>
        <item x="15"/>
        <item x="194"/>
        <item x="131"/>
        <item x="114"/>
        <item x="135"/>
        <item x="172"/>
        <item x="51"/>
        <item x="60"/>
        <item x="253"/>
        <item x="251"/>
        <item x="139"/>
        <item x="151"/>
        <item x="64"/>
        <item x="19"/>
        <item x="11"/>
        <item x="13"/>
        <item x="116"/>
        <item x="263"/>
        <item x="343"/>
        <item x="212"/>
        <item x="82"/>
        <item x="96"/>
        <item x="291"/>
        <item x="155"/>
        <item x="290"/>
        <item x="249"/>
        <item x="56"/>
        <item x="31"/>
        <item x="181"/>
        <item x="167"/>
        <item t="default"/>
      </items>
    </pivotField>
    <pivotField showAll="0"/>
    <pivotField axis="axisRow" showAll="0">
      <items count="6">
        <item x="3"/>
        <item x="1"/>
        <item x="0"/>
        <item x="2"/>
        <item x="4"/>
        <item t="default"/>
      </items>
    </pivotField>
    <pivotField showAll="0"/>
    <pivotField showAll="0"/>
    <pivotField showAll="0"/>
    <pivotField dataField="1"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sd="0" x="1"/>
        <item sd="0" x="2"/>
        <item sd="0" x="3"/>
        <item sd="0" x="4"/>
        <item sd="0" x="5"/>
        <item sd="0" x="6"/>
        <item sd="0" x="7"/>
        <item sd="0" x="8"/>
        <item sd="0" x="9"/>
        <item sd="0" x="10"/>
        <item sd="0" x="11"/>
        <item sd="0" x="12"/>
        <item h="1" sd="0" x="13"/>
        <item t="default"/>
      </items>
    </pivotField>
  </pivotFields>
  <rowFields count="1">
    <field x="2"/>
  </rowFields>
  <rowItems count="6">
    <i>
      <x/>
    </i>
    <i>
      <x v="1"/>
    </i>
    <i>
      <x v="2"/>
    </i>
    <i>
      <x v="3"/>
    </i>
    <i>
      <x v="4"/>
    </i>
    <i t="grand">
      <x/>
    </i>
  </rowItems>
  <colFields count="1">
    <field x="-2"/>
  </colFields>
  <colItems count="2">
    <i>
      <x/>
    </i>
    <i i="1">
      <x v="1"/>
    </i>
  </colItems>
  <dataFields count="2">
    <dataField name="Sum of Total Sales" fld="6" baseField="0" baseItem="0" numFmtId="164"/>
    <dataField name="Sum of Profit" fld="7" baseField="0" baseItem="0"/>
  </dataFields>
  <formats count="1">
    <format dxfId="60">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1E1BC6-60C8-4FBB-82BE-2582849CD183}" name="PivotTable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location ref="A3:C16" firstHeaderRow="0" firstDataRow="1" firstDataCol="1"/>
  <pivotFields count="10">
    <pivotField numFmtId="14" showAll="0">
      <items count="348">
        <item x="24"/>
        <item x="55"/>
        <item x="324"/>
        <item x="177"/>
        <item x="222"/>
        <item x="292"/>
        <item x="258"/>
        <item x="162"/>
        <item x="208"/>
        <item x="180"/>
        <item x="92"/>
        <item x="318"/>
        <item x="273"/>
        <item x="307"/>
        <item x="101"/>
        <item x="2"/>
        <item x="262"/>
        <item x="305"/>
        <item x="57"/>
        <item x="61"/>
        <item x="118"/>
        <item x="58"/>
        <item x="295"/>
        <item x="73"/>
        <item x="39"/>
        <item x="296"/>
        <item x="201"/>
        <item x="189"/>
        <item x="43"/>
        <item x="257"/>
        <item x="191"/>
        <item x="30"/>
        <item x="110"/>
        <item x="274"/>
        <item x="160"/>
        <item x="338"/>
        <item x="220"/>
        <item x="284"/>
        <item x="266"/>
        <item x="184"/>
        <item x="91"/>
        <item x="339"/>
        <item x="72"/>
        <item x="240"/>
        <item x="235"/>
        <item x="140"/>
        <item x="126"/>
        <item x="287"/>
        <item x="259"/>
        <item x="168"/>
        <item x="196"/>
        <item x="1"/>
        <item x="319"/>
        <item x="23"/>
        <item x="95"/>
        <item x="239"/>
        <item x="150"/>
        <item x="308"/>
        <item x="314"/>
        <item x="288"/>
        <item x="205"/>
        <item x="7"/>
        <item x="163"/>
        <item x="68"/>
        <item x="179"/>
        <item x="47"/>
        <item x="52"/>
        <item x="129"/>
        <item x="215"/>
        <item x="204"/>
        <item x="195"/>
        <item x="203"/>
        <item x="161"/>
        <item x="111"/>
        <item x="228"/>
        <item x="170"/>
        <item x="5"/>
        <item x="50"/>
        <item x="316"/>
        <item x="122"/>
        <item x="225"/>
        <item x="87"/>
        <item x="141"/>
        <item x="185"/>
        <item x="182"/>
        <item x="217"/>
        <item x="236"/>
        <item x="304"/>
        <item x="333"/>
        <item x="174"/>
        <item x="211"/>
        <item x="275"/>
        <item x="309"/>
        <item x="133"/>
        <item x="37"/>
        <item x="105"/>
        <item x="331"/>
        <item x="298"/>
        <item x="3"/>
        <item x="199"/>
        <item x="335"/>
        <item x="252"/>
        <item x="248"/>
        <item x="70"/>
        <item x="28"/>
        <item x="301"/>
        <item x="169"/>
        <item x="93"/>
        <item x="280"/>
        <item x="165"/>
        <item x="202"/>
        <item x="173"/>
        <item x="106"/>
        <item x="119"/>
        <item x="115"/>
        <item x="250"/>
        <item x="44"/>
        <item x="282"/>
        <item x="125"/>
        <item x="206"/>
        <item x="128"/>
        <item x="12"/>
        <item x="16"/>
        <item x="38"/>
        <item x="325"/>
        <item x="178"/>
        <item x="233"/>
        <item x="79"/>
        <item x="46"/>
        <item x="281"/>
        <item x="49"/>
        <item x="117"/>
        <item x="14"/>
        <item x="98"/>
        <item x="81"/>
        <item x="107"/>
        <item x="311"/>
        <item x="120"/>
        <item x="312"/>
        <item x="53"/>
        <item x="334"/>
        <item x="216"/>
        <item x="124"/>
        <item x="9"/>
        <item x="127"/>
        <item x="102"/>
        <item x="149"/>
        <item x="315"/>
        <item x="313"/>
        <item x="146"/>
        <item x="156"/>
        <item x="62"/>
        <item x="25"/>
        <item x="67"/>
        <item x="42"/>
        <item x="299"/>
        <item x="134"/>
        <item x="255"/>
        <item x="254"/>
        <item x="241"/>
        <item x="340"/>
        <item x="90"/>
        <item x="63"/>
        <item x="32"/>
        <item x="268"/>
        <item x="269"/>
        <item x="197"/>
        <item x="323"/>
        <item x="109"/>
        <item x="306"/>
        <item x="6"/>
        <item x="218"/>
        <item x="186"/>
        <item x="104"/>
        <item x="260"/>
        <item x="344"/>
        <item x="142"/>
        <item x="207"/>
        <item x="8"/>
        <item x="10"/>
        <item x="223"/>
        <item x="152"/>
        <item x="293"/>
        <item x="317"/>
        <item x="332"/>
        <item x="245"/>
        <item x="40"/>
        <item x="143"/>
        <item x="279"/>
        <item x="65"/>
        <item x="157"/>
        <item x="272"/>
        <item x="88"/>
        <item x="286"/>
        <item x="264"/>
        <item x="75"/>
        <item x="336"/>
        <item x="36"/>
        <item x="300"/>
        <item x="34"/>
        <item x="193"/>
        <item x="35"/>
        <item x="59"/>
        <item x="74"/>
        <item x="256"/>
        <item x="277"/>
        <item x="342"/>
        <item x="41"/>
        <item x="76"/>
        <item x="283"/>
        <item x="176"/>
        <item x="171"/>
        <item x="261"/>
        <item x="183"/>
        <item x="198"/>
        <item x="148"/>
        <item x="71"/>
        <item x="158"/>
        <item x="213"/>
        <item x="164"/>
        <item x="100"/>
        <item x="22"/>
        <item x="224"/>
        <item x="48"/>
        <item x="230"/>
        <item x="89"/>
        <item x="247"/>
        <item x="144"/>
        <item x="345"/>
        <item x="121"/>
        <item x="229"/>
        <item x="103"/>
        <item x="27"/>
        <item x="85"/>
        <item x="226"/>
        <item x="200"/>
        <item x="231"/>
        <item x="26"/>
        <item x="321"/>
        <item x="54"/>
        <item x="108"/>
        <item x="18"/>
        <item x="237"/>
        <item x="270"/>
        <item x="346"/>
        <item x="136"/>
        <item x="78"/>
        <item x="130"/>
        <item x="320"/>
        <item x="214"/>
        <item x="221"/>
        <item x="328"/>
        <item x="271"/>
        <item x="66"/>
        <item x="192"/>
        <item x="341"/>
        <item x="137"/>
        <item x="20"/>
        <item x="77"/>
        <item x="21"/>
        <item x="330"/>
        <item x="33"/>
        <item x="83"/>
        <item x="232"/>
        <item x="86"/>
        <item x="285"/>
        <item x="123"/>
        <item x="132"/>
        <item x="310"/>
        <item x="329"/>
        <item x="112"/>
        <item x="243"/>
        <item x="154"/>
        <item x="242"/>
        <item x="188"/>
        <item x="238"/>
        <item x="69"/>
        <item x="147"/>
        <item x="227"/>
        <item x="294"/>
        <item x="209"/>
        <item x="17"/>
        <item x="84"/>
        <item x="145"/>
        <item x="4"/>
        <item x="303"/>
        <item x="99"/>
        <item x="190"/>
        <item x="302"/>
        <item x="265"/>
        <item x="289"/>
        <item x="326"/>
        <item x="322"/>
        <item x="94"/>
        <item x="166"/>
        <item x="113"/>
        <item x="219"/>
        <item x="276"/>
        <item x="267"/>
        <item x="327"/>
        <item x="45"/>
        <item x="297"/>
        <item x="138"/>
        <item x="80"/>
        <item x="187"/>
        <item x="337"/>
        <item x="175"/>
        <item x="278"/>
        <item x="153"/>
        <item x="0"/>
        <item x="244"/>
        <item x="210"/>
        <item x="159"/>
        <item x="97"/>
        <item x="29"/>
        <item x="234"/>
        <item x="246"/>
        <item x="15"/>
        <item x="194"/>
        <item x="131"/>
        <item x="114"/>
        <item x="135"/>
        <item x="172"/>
        <item x="51"/>
        <item x="60"/>
        <item x="253"/>
        <item x="251"/>
        <item x="139"/>
        <item x="151"/>
        <item x="64"/>
        <item x="19"/>
        <item x="11"/>
        <item x="13"/>
        <item x="116"/>
        <item x="263"/>
        <item x="343"/>
        <item x="212"/>
        <item x="82"/>
        <item x="96"/>
        <item x="291"/>
        <item x="155"/>
        <item x="290"/>
        <item x="249"/>
        <item x="56"/>
        <item x="31"/>
        <item x="181"/>
        <item x="167"/>
        <item t="default"/>
      </items>
    </pivotField>
    <pivotField showAll="0"/>
    <pivotField showAll="0">
      <items count="6">
        <item x="3"/>
        <item x="1"/>
        <item x="0"/>
        <item x="2"/>
        <item x="4"/>
        <item t="default"/>
      </items>
    </pivotField>
    <pivotField showAll="0"/>
    <pivotField showAll="0"/>
    <pivotField showAll="0"/>
    <pivotField dataField="1"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h="1" sd="0" x="13"/>
        <item t="default"/>
      </items>
    </pivotField>
  </pivotFields>
  <rowFields count="1">
    <field x="9"/>
  </rowFields>
  <rowItems count="13">
    <i>
      <x v="1"/>
    </i>
    <i>
      <x v="2"/>
    </i>
    <i>
      <x v="3"/>
    </i>
    <i>
      <x v="4"/>
    </i>
    <i>
      <x v="5"/>
    </i>
    <i>
      <x v="6"/>
    </i>
    <i>
      <x v="7"/>
    </i>
    <i>
      <x v="8"/>
    </i>
    <i>
      <x v="9"/>
    </i>
    <i>
      <x v="10"/>
    </i>
    <i>
      <x v="11"/>
    </i>
    <i>
      <x v="12"/>
    </i>
    <i t="grand">
      <x/>
    </i>
  </rowItems>
  <colFields count="1">
    <field x="-2"/>
  </colFields>
  <colItems count="2">
    <i>
      <x/>
    </i>
    <i i="1">
      <x v="1"/>
    </i>
  </colItems>
  <dataFields count="2">
    <dataField name="Sum of Total Sales" fld="6" baseField="0" baseItem="0" numFmtId="164"/>
    <dataField name="Sum of Profit" fld="7" baseField="0" baseItem="0"/>
  </dataFields>
  <formats count="1">
    <format dxfId="61">
      <pivotArea outline="0" collapsedLevelsAreSubtotals="1" fieldPosition="0"/>
    </format>
  </formats>
  <chartFormats count="2">
    <chartFormat chart="3" format="17" series="1">
      <pivotArea type="data" outline="0" fieldPosition="0">
        <references count="1">
          <reference field="4294967294" count="1" selected="0">
            <x v="0"/>
          </reference>
        </references>
      </pivotArea>
    </chartFormat>
    <chartFormat chart="3" format="1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AD6193-6B04-4C99-B8DC-81AE0AA761A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H20:I27" firstHeaderRow="1" firstDataRow="1" firstDataCol="1"/>
  <pivotFields count="10">
    <pivotField numFmtId="14" showAll="0">
      <items count="348">
        <item x="24"/>
        <item x="55"/>
        <item x="324"/>
        <item x="177"/>
        <item x="222"/>
        <item x="292"/>
        <item x="258"/>
        <item x="162"/>
        <item x="208"/>
        <item x="180"/>
        <item x="92"/>
        <item x="318"/>
        <item x="273"/>
        <item x="307"/>
        <item x="101"/>
        <item x="2"/>
        <item x="262"/>
        <item x="305"/>
        <item x="57"/>
        <item x="61"/>
        <item x="118"/>
        <item x="58"/>
        <item x="295"/>
        <item x="73"/>
        <item x="39"/>
        <item x="296"/>
        <item x="201"/>
        <item x="189"/>
        <item x="43"/>
        <item x="257"/>
        <item x="191"/>
        <item x="30"/>
        <item x="110"/>
        <item x="274"/>
        <item x="160"/>
        <item x="338"/>
        <item x="220"/>
        <item x="284"/>
        <item x="266"/>
        <item x="184"/>
        <item x="91"/>
        <item x="339"/>
        <item x="72"/>
        <item x="240"/>
        <item x="235"/>
        <item x="140"/>
        <item x="126"/>
        <item x="287"/>
        <item x="259"/>
        <item x="168"/>
        <item x="196"/>
        <item x="1"/>
        <item x="319"/>
        <item x="23"/>
        <item x="95"/>
        <item x="239"/>
        <item x="150"/>
        <item x="308"/>
        <item x="314"/>
        <item x="288"/>
        <item x="205"/>
        <item x="7"/>
        <item x="163"/>
        <item x="68"/>
        <item x="179"/>
        <item x="47"/>
        <item x="52"/>
        <item x="129"/>
        <item x="215"/>
        <item x="204"/>
        <item x="195"/>
        <item x="203"/>
        <item x="161"/>
        <item x="111"/>
        <item x="228"/>
        <item x="170"/>
        <item x="5"/>
        <item x="50"/>
        <item x="316"/>
        <item x="122"/>
        <item x="225"/>
        <item x="87"/>
        <item x="141"/>
        <item x="185"/>
        <item x="182"/>
        <item x="217"/>
        <item x="236"/>
        <item x="304"/>
        <item x="333"/>
        <item x="174"/>
        <item x="211"/>
        <item x="275"/>
        <item x="309"/>
        <item x="133"/>
        <item x="37"/>
        <item x="105"/>
        <item x="331"/>
        <item x="298"/>
        <item x="3"/>
        <item x="199"/>
        <item x="335"/>
        <item x="252"/>
        <item x="248"/>
        <item x="70"/>
        <item x="28"/>
        <item x="301"/>
        <item x="169"/>
        <item x="93"/>
        <item x="280"/>
        <item x="165"/>
        <item x="202"/>
        <item x="173"/>
        <item x="106"/>
        <item x="119"/>
        <item x="115"/>
        <item x="250"/>
        <item x="44"/>
        <item x="282"/>
        <item x="125"/>
        <item x="206"/>
        <item x="128"/>
        <item x="12"/>
        <item x="16"/>
        <item x="38"/>
        <item x="325"/>
        <item x="178"/>
        <item x="233"/>
        <item x="79"/>
        <item x="46"/>
        <item x="281"/>
        <item x="49"/>
        <item x="117"/>
        <item x="14"/>
        <item x="98"/>
        <item x="81"/>
        <item x="107"/>
        <item x="311"/>
        <item x="120"/>
        <item x="312"/>
        <item x="53"/>
        <item x="334"/>
        <item x="216"/>
        <item x="124"/>
        <item x="9"/>
        <item x="127"/>
        <item x="102"/>
        <item x="149"/>
        <item x="315"/>
        <item x="313"/>
        <item x="146"/>
        <item x="156"/>
        <item x="62"/>
        <item x="25"/>
        <item x="67"/>
        <item x="42"/>
        <item x="299"/>
        <item x="134"/>
        <item x="255"/>
        <item x="254"/>
        <item x="241"/>
        <item x="340"/>
        <item x="90"/>
        <item x="63"/>
        <item x="32"/>
        <item x="268"/>
        <item x="269"/>
        <item x="197"/>
        <item x="323"/>
        <item x="109"/>
        <item x="306"/>
        <item x="6"/>
        <item x="218"/>
        <item x="186"/>
        <item x="104"/>
        <item x="260"/>
        <item x="344"/>
        <item x="142"/>
        <item x="207"/>
        <item x="8"/>
        <item x="10"/>
        <item x="223"/>
        <item x="152"/>
        <item x="293"/>
        <item x="317"/>
        <item x="332"/>
        <item x="245"/>
        <item x="40"/>
        <item x="143"/>
        <item x="279"/>
        <item x="65"/>
        <item x="157"/>
        <item x="272"/>
        <item x="88"/>
        <item x="286"/>
        <item x="264"/>
        <item x="75"/>
        <item x="336"/>
        <item x="36"/>
        <item x="300"/>
        <item x="34"/>
        <item x="193"/>
        <item x="35"/>
        <item x="59"/>
        <item x="74"/>
        <item x="256"/>
        <item x="277"/>
        <item x="342"/>
        <item x="41"/>
        <item x="76"/>
        <item x="283"/>
        <item x="176"/>
        <item x="171"/>
        <item x="261"/>
        <item x="183"/>
        <item x="198"/>
        <item x="148"/>
        <item x="71"/>
        <item x="158"/>
        <item x="213"/>
        <item x="164"/>
        <item x="100"/>
        <item x="22"/>
        <item x="224"/>
        <item x="48"/>
        <item x="230"/>
        <item x="89"/>
        <item x="247"/>
        <item x="144"/>
        <item x="345"/>
        <item x="121"/>
        <item x="229"/>
        <item x="103"/>
        <item x="27"/>
        <item x="85"/>
        <item x="226"/>
        <item x="200"/>
        <item x="231"/>
        <item x="26"/>
        <item x="321"/>
        <item x="54"/>
        <item x="108"/>
        <item x="18"/>
        <item x="237"/>
        <item x="270"/>
        <item x="346"/>
        <item x="136"/>
        <item x="78"/>
        <item x="130"/>
        <item x="320"/>
        <item x="214"/>
        <item x="221"/>
        <item x="328"/>
        <item x="271"/>
        <item x="66"/>
        <item x="192"/>
        <item x="341"/>
        <item x="137"/>
        <item x="20"/>
        <item x="77"/>
        <item x="21"/>
        <item x="330"/>
        <item x="33"/>
        <item x="83"/>
        <item x="232"/>
        <item x="86"/>
        <item x="285"/>
        <item x="123"/>
        <item x="132"/>
        <item x="310"/>
        <item x="329"/>
        <item x="112"/>
        <item x="243"/>
        <item x="154"/>
        <item x="242"/>
        <item x="188"/>
        <item x="238"/>
        <item x="69"/>
        <item x="147"/>
        <item x="227"/>
        <item x="294"/>
        <item x="209"/>
        <item x="17"/>
        <item x="84"/>
        <item x="145"/>
        <item x="4"/>
        <item x="303"/>
        <item x="99"/>
        <item x="190"/>
        <item x="302"/>
        <item x="265"/>
        <item x="289"/>
        <item x="326"/>
        <item x="322"/>
        <item x="94"/>
        <item x="166"/>
        <item x="113"/>
        <item x="219"/>
        <item x="276"/>
        <item x="267"/>
        <item x="327"/>
        <item x="45"/>
        <item x="297"/>
        <item x="138"/>
        <item x="80"/>
        <item x="187"/>
        <item x="337"/>
        <item x="175"/>
        <item x="278"/>
        <item x="153"/>
        <item x="0"/>
        <item x="244"/>
        <item x="210"/>
        <item x="159"/>
        <item x="97"/>
        <item x="29"/>
        <item x="234"/>
        <item x="246"/>
        <item x="15"/>
        <item x="194"/>
        <item x="131"/>
        <item x="114"/>
        <item x="135"/>
        <item x="172"/>
        <item x="51"/>
        <item x="60"/>
        <item x="253"/>
        <item x="251"/>
        <item x="139"/>
        <item x="151"/>
        <item x="64"/>
        <item x="19"/>
        <item x="11"/>
        <item x="13"/>
        <item x="116"/>
        <item x="263"/>
        <item x="343"/>
        <item x="212"/>
        <item x="82"/>
        <item x="96"/>
        <item x="291"/>
        <item x="155"/>
        <item x="290"/>
        <item x="249"/>
        <item x="56"/>
        <item x="31"/>
        <item x="181"/>
        <item x="167"/>
        <item t="default"/>
      </items>
    </pivotField>
    <pivotField showAll="0"/>
    <pivotField showAll="0">
      <items count="6">
        <item x="3"/>
        <item x="1"/>
        <item x="0"/>
        <item x="2"/>
        <item x="4"/>
        <item t="default"/>
      </items>
    </pivotField>
    <pivotField showAll="0"/>
    <pivotField axis="axisRow" showAll="0">
      <items count="7">
        <item x="2"/>
        <item x="1"/>
        <item x="0"/>
        <item x="4"/>
        <item x="5"/>
        <item x="3"/>
        <item t="default"/>
      </items>
    </pivotField>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sd="0" x="1"/>
        <item sd="0" x="2"/>
        <item sd="0" x="3"/>
        <item sd="0" x="4"/>
        <item sd="0" x="5"/>
        <item sd="0" x="6"/>
        <item sd="0" x="7"/>
        <item sd="0" x="8"/>
        <item sd="0" x="9"/>
        <item sd="0" x="10"/>
        <item sd="0" x="11"/>
        <item sd="0" x="12"/>
        <item h="1" sd="0" x="13"/>
        <item t="default"/>
      </items>
    </pivotField>
  </pivotFields>
  <rowFields count="1">
    <field x="4"/>
  </rowFields>
  <rowItems count="7">
    <i>
      <x/>
    </i>
    <i>
      <x v="1"/>
    </i>
    <i>
      <x v="2"/>
    </i>
    <i>
      <x v="3"/>
    </i>
    <i>
      <x v="4"/>
    </i>
    <i>
      <x v="5"/>
    </i>
    <i t="grand">
      <x/>
    </i>
  </rowItems>
  <colItems count="1">
    <i/>
  </colItems>
  <dataFields count="1">
    <dataField name="Sum of Total Sales" fld="6" baseField="0" baseItem="0"/>
  </dataFields>
  <chartFormats count="7">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4" count="1" selected="0">
            <x v="5"/>
          </reference>
        </references>
      </pivotArea>
    </chartFormat>
    <chartFormat chart="4" format="4">
      <pivotArea type="data" outline="0" fieldPosition="0">
        <references count="2">
          <reference field="4294967294" count="1" selected="0">
            <x v="0"/>
          </reference>
          <reference field="4" count="1" selected="0">
            <x v="4"/>
          </reference>
        </references>
      </pivotArea>
    </chartFormat>
    <chartFormat chart="4" format="5">
      <pivotArea type="data" outline="0" fieldPosition="0">
        <references count="2">
          <reference field="4294967294" count="1" selected="0">
            <x v="0"/>
          </reference>
          <reference field="4" count="1" selected="0">
            <x v="3"/>
          </reference>
        </references>
      </pivotArea>
    </chartFormat>
    <chartFormat chart="4" format="6">
      <pivotArea type="data" outline="0" fieldPosition="0">
        <references count="2">
          <reference field="4294967294" count="1" selected="0">
            <x v="0"/>
          </reference>
          <reference field="4" count="1" selected="0">
            <x v="2"/>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0C9CA6-96DD-4E72-A812-BA335D10DCC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K3:L19" firstHeaderRow="1" firstDataRow="1" firstDataCol="1"/>
  <pivotFields count="10">
    <pivotField numFmtId="14" showAll="0">
      <items count="348">
        <item x="24"/>
        <item x="55"/>
        <item x="324"/>
        <item x="177"/>
        <item x="222"/>
        <item x="292"/>
        <item x="258"/>
        <item x="162"/>
        <item x="208"/>
        <item x="180"/>
        <item x="92"/>
        <item x="318"/>
        <item x="273"/>
        <item x="307"/>
        <item x="101"/>
        <item x="2"/>
        <item x="262"/>
        <item x="305"/>
        <item x="57"/>
        <item x="61"/>
        <item x="118"/>
        <item x="58"/>
        <item x="295"/>
        <item x="73"/>
        <item x="39"/>
        <item x="296"/>
        <item x="201"/>
        <item x="189"/>
        <item x="43"/>
        <item x="257"/>
        <item x="191"/>
        <item x="30"/>
        <item x="110"/>
        <item x="274"/>
        <item x="160"/>
        <item x="338"/>
        <item x="220"/>
        <item x="284"/>
        <item x="266"/>
        <item x="184"/>
        <item x="91"/>
        <item x="339"/>
        <item x="72"/>
        <item x="240"/>
        <item x="235"/>
        <item x="140"/>
        <item x="126"/>
        <item x="287"/>
        <item x="259"/>
        <item x="168"/>
        <item x="196"/>
        <item x="1"/>
        <item x="319"/>
        <item x="23"/>
        <item x="95"/>
        <item x="239"/>
        <item x="150"/>
        <item x="308"/>
        <item x="314"/>
        <item x="288"/>
        <item x="205"/>
        <item x="7"/>
        <item x="163"/>
        <item x="68"/>
        <item x="179"/>
        <item x="47"/>
        <item x="52"/>
        <item x="129"/>
        <item x="215"/>
        <item x="204"/>
        <item x="195"/>
        <item x="203"/>
        <item x="161"/>
        <item x="111"/>
        <item x="228"/>
        <item x="170"/>
        <item x="5"/>
        <item x="50"/>
        <item x="316"/>
        <item x="122"/>
        <item x="225"/>
        <item x="87"/>
        <item x="141"/>
        <item x="185"/>
        <item x="182"/>
        <item x="217"/>
        <item x="236"/>
        <item x="304"/>
        <item x="333"/>
        <item x="174"/>
        <item x="211"/>
        <item x="275"/>
        <item x="309"/>
        <item x="133"/>
        <item x="37"/>
        <item x="105"/>
        <item x="331"/>
        <item x="298"/>
        <item x="3"/>
        <item x="199"/>
        <item x="335"/>
        <item x="252"/>
        <item x="248"/>
        <item x="70"/>
        <item x="28"/>
        <item x="301"/>
        <item x="169"/>
        <item x="93"/>
        <item x="280"/>
        <item x="165"/>
        <item x="202"/>
        <item x="173"/>
        <item x="106"/>
        <item x="119"/>
        <item x="115"/>
        <item x="250"/>
        <item x="44"/>
        <item x="282"/>
        <item x="125"/>
        <item x="206"/>
        <item x="128"/>
        <item x="12"/>
        <item x="16"/>
        <item x="38"/>
        <item x="325"/>
        <item x="178"/>
        <item x="233"/>
        <item x="79"/>
        <item x="46"/>
        <item x="281"/>
        <item x="49"/>
        <item x="117"/>
        <item x="14"/>
        <item x="98"/>
        <item x="81"/>
        <item x="107"/>
        <item x="311"/>
        <item x="120"/>
        <item x="312"/>
        <item x="53"/>
        <item x="334"/>
        <item x="216"/>
        <item x="124"/>
        <item x="9"/>
        <item x="127"/>
        <item x="102"/>
        <item x="149"/>
        <item x="315"/>
        <item x="313"/>
        <item x="146"/>
        <item x="156"/>
        <item x="62"/>
        <item x="25"/>
        <item x="67"/>
        <item x="42"/>
        <item x="299"/>
        <item x="134"/>
        <item x="255"/>
        <item x="254"/>
        <item x="241"/>
        <item x="340"/>
        <item x="90"/>
        <item x="63"/>
        <item x="32"/>
        <item x="268"/>
        <item x="269"/>
        <item x="197"/>
        <item x="323"/>
        <item x="109"/>
        <item x="306"/>
        <item x="6"/>
        <item x="218"/>
        <item x="186"/>
        <item x="104"/>
        <item x="260"/>
        <item x="344"/>
        <item x="142"/>
        <item x="207"/>
        <item x="8"/>
        <item x="10"/>
        <item x="223"/>
        <item x="152"/>
        <item x="293"/>
        <item x="317"/>
        <item x="332"/>
        <item x="245"/>
        <item x="40"/>
        <item x="143"/>
        <item x="279"/>
        <item x="65"/>
        <item x="157"/>
        <item x="272"/>
        <item x="88"/>
        <item x="286"/>
        <item x="264"/>
        <item x="75"/>
        <item x="336"/>
        <item x="36"/>
        <item x="300"/>
        <item x="34"/>
        <item x="193"/>
        <item x="35"/>
        <item x="59"/>
        <item x="74"/>
        <item x="256"/>
        <item x="277"/>
        <item x="342"/>
        <item x="41"/>
        <item x="76"/>
        <item x="283"/>
        <item x="176"/>
        <item x="171"/>
        <item x="261"/>
        <item x="183"/>
        <item x="198"/>
        <item x="148"/>
        <item x="71"/>
        <item x="158"/>
        <item x="213"/>
        <item x="164"/>
        <item x="100"/>
        <item x="22"/>
        <item x="224"/>
        <item x="48"/>
        <item x="230"/>
        <item x="89"/>
        <item x="247"/>
        <item x="144"/>
        <item x="345"/>
        <item x="121"/>
        <item x="229"/>
        <item x="103"/>
        <item x="27"/>
        <item x="85"/>
        <item x="226"/>
        <item x="200"/>
        <item x="231"/>
        <item x="26"/>
        <item x="321"/>
        <item x="54"/>
        <item x="108"/>
        <item x="18"/>
        <item x="237"/>
        <item x="270"/>
        <item x="346"/>
        <item x="136"/>
        <item x="78"/>
        <item x="130"/>
        <item x="320"/>
        <item x="214"/>
        <item x="221"/>
        <item x="328"/>
        <item x="271"/>
        <item x="66"/>
        <item x="192"/>
        <item x="341"/>
        <item x="137"/>
        <item x="20"/>
        <item x="77"/>
        <item x="21"/>
        <item x="330"/>
        <item x="33"/>
        <item x="83"/>
        <item x="232"/>
        <item x="86"/>
        <item x="285"/>
        <item x="123"/>
        <item x="132"/>
        <item x="310"/>
        <item x="329"/>
        <item x="112"/>
        <item x="243"/>
        <item x="154"/>
        <item x="242"/>
        <item x="188"/>
        <item x="238"/>
        <item x="69"/>
        <item x="147"/>
        <item x="227"/>
        <item x="294"/>
        <item x="209"/>
        <item x="17"/>
        <item x="84"/>
        <item x="145"/>
        <item x="4"/>
        <item x="303"/>
        <item x="99"/>
        <item x="190"/>
        <item x="302"/>
        <item x="265"/>
        <item x="289"/>
        <item x="326"/>
        <item x="322"/>
        <item x="94"/>
        <item x="166"/>
        <item x="113"/>
        <item x="219"/>
        <item x="276"/>
        <item x="267"/>
        <item x="327"/>
        <item x="45"/>
        <item x="297"/>
        <item x="138"/>
        <item x="80"/>
        <item x="187"/>
        <item x="337"/>
        <item x="175"/>
        <item x="278"/>
        <item x="153"/>
        <item x="0"/>
        <item x="244"/>
        <item x="210"/>
        <item x="159"/>
        <item x="97"/>
        <item x="29"/>
        <item x="234"/>
        <item x="246"/>
        <item x="15"/>
        <item x="194"/>
        <item x="131"/>
        <item x="114"/>
        <item x="135"/>
        <item x="172"/>
        <item x="51"/>
        <item x="60"/>
        <item x="253"/>
        <item x="251"/>
        <item x="139"/>
        <item x="151"/>
        <item x="64"/>
        <item x="19"/>
        <item x="11"/>
        <item x="13"/>
        <item x="116"/>
        <item x="263"/>
        <item x="343"/>
        <item x="212"/>
        <item x="82"/>
        <item x="96"/>
        <item x="291"/>
        <item x="155"/>
        <item x="290"/>
        <item x="249"/>
        <item x="56"/>
        <item x="31"/>
        <item x="181"/>
        <item x="167"/>
        <item t="default"/>
      </items>
    </pivotField>
    <pivotField showAll="0"/>
    <pivotField showAll="0">
      <items count="6">
        <item x="3"/>
        <item x="1"/>
        <item x="0"/>
        <item x="2"/>
        <item x="4"/>
        <item t="default"/>
      </items>
    </pivotField>
    <pivotField axis="axisRow" showAll="0">
      <items count="16">
        <item x="1"/>
        <item x="9"/>
        <item x="7"/>
        <item x="6"/>
        <item x="4"/>
        <item x="12"/>
        <item x="0"/>
        <item x="8"/>
        <item x="3"/>
        <item x="14"/>
        <item x="10"/>
        <item x="5"/>
        <item x="11"/>
        <item x="13"/>
        <item x="2"/>
        <item t="default"/>
      </items>
    </pivotField>
    <pivotField showAll="0"/>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sd="0" x="1"/>
        <item sd="0" x="2"/>
        <item sd="0" x="3"/>
        <item sd="0" x="4"/>
        <item sd="0" x="5"/>
        <item sd="0" x="6"/>
        <item sd="0" x="7"/>
        <item sd="0" x="8"/>
        <item sd="0" x="9"/>
        <item sd="0" x="10"/>
        <item sd="0" x="11"/>
        <item sd="0" x="12"/>
        <item h="1" sd="0" x="13"/>
        <item t="default"/>
      </items>
    </pivotField>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Sum of Quantity" fld="5" baseField="0" baseItem="0" numFmtId="165"/>
  </dataFields>
  <formats count="2">
    <format dxfId="63">
      <pivotArea outline="0" collapsedLevelsAreSubtotals="1" fieldPosition="0"/>
    </format>
    <format dxfId="62">
      <pivotArea grandRow="1"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57EDC7-E412-4C65-B08D-CE4202687CED}"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E14:F27" firstHeaderRow="1" firstDataRow="1" firstDataCol="1"/>
  <pivotFields count="10">
    <pivotField numFmtId="14" showAll="0">
      <items count="348">
        <item x="24"/>
        <item x="55"/>
        <item x="324"/>
        <item x="177"/>
        <item x="222"/>
        <item x="292"/>
        <item x="258"/>
        <item x="162"/>
        <item x="208"/>
        <item x="180"/>
        <item x="92"/>
        <item x="318"/>
        <item x="273"/>
        <item x="307"/>
        <item x="101"/>
        <item x="2"/>
        <item x="262"/>
        <item x="305"/>
        <item x="57"/>
        <item x="61"/>
        <item x="118"/>
        <item x="58"/>
        <item x="295"/>
        <item x="73"/>
        <item x="39"/>
        <item x="296"/>
        <item x="201"/>
        <item x="189"/>
        <item x="43"/>
        <item x="257"/>
        <item x="191"/>
        <item x="30"/>
        <item x="110"/>
        <item x="274"/>
        <item x="160"/>
        <item x="338"/>
        <item x="220"/>
        <item x="284"/>
        <item x="266"/>
        <item x="184"/>
        <item x="91"/>
        <item x="339"/>
        <item x="72"/>
        <item x="240"/>
        <item x="235"/>
        <item x="140"/>
        <item x="126"/>
        <item x="287"/>
        <item x="259"/>
        <item x="168"/>
        <item x="196"/>
        <item x="1"/>
        <item x="319"/>
        <item x="23"/>
        <item x="95"/>
        <item x="239"/>
        <item x="150"/>
        <item x="308"/>
        <item x="314"/>
        <item x="288"/>
        <item x="205"/>
        <item x="7"/>
        <item x="163"/>
        <item x="68"/>
        <item x="179"/>
        <item x="47"/>
        <item x="52"/>
        <item x="129"/>
        <item x="215"/>
        <item x="204"/>
        <item x="195"/>
        <item x="203"/>
        <item x="161"/>
        <item x="111"/>
        <item x="228"/>
        <item x="170"/>
        <item x="5"/>
        <item x="50"/>
        <item x="316"/>
        <item x="122"/>
        <item x="225"/>
        <item x="87"/>
        <item x="141"/>
        <item x="185"/>
        <item x="182"/>
        <item x="217"/>
        <item x="236"/>
        <item x="304"/>
        <item x="333"/>
        <item x="174"/>
        <item x="211"/>
        <item x="275"/>
        <item x="309"/>
        <item x="133"/>
        <item x="37"/>
        <item x="105"/>
        <item x="331"/>
        <item x="298"/>
        <item x="3"/>
        <item x="199"/>
        <item x="335"/>
        <item x="252"/>
        <item x="248"/>
        <item x="70"/>
        <item x="28"/>
        <item x="301"/>
        <item x="169"/>
        <item x="93"/>
        <item x="280"/>
        <item x="165"/>
        <item x="202"/>
        <item x="173"/>
        <item x="106"/>
        <item x="119"/>
        <item x="115"/>
        <item x="250"/>
        <item x="44"/>
        <item x="282"/>
        <item x="125"/>
        <item x="206"/>
        <item x="128"/>
        <item x="12"/>
        <item x="16"/>
        <item x="38"/>
        <item x="325"/>
        <item x="178"/>
        <item x="233"/>
        <item x="79"/>
        <item x="46"/>
        <item x="281"/>
        <item x="49"/>
        <item x="117"/>
        <item x="14"/>
        <item x="98"/>
        <item x="81"/>
        <item x="107"/>
        <item x="311"/>
        <item x="120"/>
        <item x="312"/>
        <item x="53"/>
        <item x="334"/>
        <item x="216"/>
        <item x="124"/>
        <item x="9"/>
        <item x="127"/>
        <item x="102"/>
        <item x="149"/>
        <item x="315"/>
        <item x="313"/>
        <item x="146"/>
        <item x="156"/>
        <item x="62"/>
        <item x="25"/>
        <item x="67"/>
        <item x="42"/>
        <item x="299"/>
        <item x="134"/>
        <item x="255"/>
        <item x="254"/>
        <item x="241"/>
        <item x="340"/>
        <item x="90"/>
        <item x="63"/>
        <item x="32"/>
        <item x="268"/>
        <item x="269"/>
        <item x="197"/>
        <item x="323"/>
        <item x="109"/>
        <item x="306"/>
        <item x="6"/>
        <item x="218"/>
        <item x="186"/>
        <item x="104"/>
        <item x="260"/>
        <item x="344"/>
        <item x="142"/>
        <item x="207"/>
        <item x="8"/>
        <item x="10"/>
        <item x="223"/>
        <item x="152"/>
        <item x="293"/>
        <item x="317"/>
        <item x="332"/>
        <item x="245"/>
        <item x="40"/>
        <item x="143"/>
        <item x="279"/>
        <item x="65"/>
        <item x="157"/>
        <item x="272"/>
        <item x="88"/>
        <item x="286"/>
        <item x="264"/>
        <item x="75"/>
        <item x="336"/>
        <item x="36"/>
        <item x="300"/>
        <item x="34"/>
        <item x="193"/>
        <item x="35"/>
        <item x="59"/>
        <item x="74"/>
        <item x="256"/>
        <item x="277"/>
        <item x="342"/>
        <item x="41"/>
        <item x="76"/>
        <item x="283"/>
        <item x="176"/>
        <item x="171"/>
        <item x="261"/>
        <item x="183"/>
        <item x="198"/>
        <item x="148"/>
        <item x="71"/>
        <item x="158"/>
        <item x="213"/>
        <item x="164"/>
        <item x="100"/>
        <item x="22"/>
        <item x="224"/>
        <item x="48"/>
        <item x="230"/>
        <item x="89"/>
        <item x="247"/>
        <item x="144"/>
        <item x="345"/>
        <item x="121"/>
        <item x="229"/>
        <item x="103"/>
        <item x="27"/>
        <item x="85"/>
        <item x="226"/>
        <item x="200"/>
        <item x="231"/>
        <item x="26"/>
        <item x="321"/>
        <item x="54"/>
        <item x="108"/>
        <item x="18"/>
        <item x="237"/>
        <item x="270"/>
        <item x="346"/>
        <item x="136"/>
        <item x="78"/>
        <item x="130"/>
        <item x="320"/>
        <item x="214"/>
        <item x="221"/>
        <item x="328"/>
        <item x="271"/>
        <item x="66"/>
        <item x="192"/>
        <item x="341"/>
        <item x="137"/>
        <item x="20"/>
        <item x="77"/>
        <item x="21"/>
        <item x="330"/>
        <item x="33"/>
        <item x="83"/>
        <item x="232"/>
        <item x="86"/>
        <item x="285"/>
        <item x="123"/>
        <item x="132"/>
        <item x="310"/>
        <item x="329"/>
        <item x="112"/>
        <item x="243"/>
        <item x="154"/>
        <item x="242"/>
        <item x="188"/>
        <item x="238"/>
        <item x="69"/>
        <item x="147"/>
        <item x="227"/>
        <item x="294"/>
        <item x="209"/>
        <item x="17"/>
        <item x="84"/>
        <item x="145"/>
        <item x="4"/>
        <item x="303"/>
        <item x="99"/>
        <item x="190"/>
        <item x="302"/>
        <item x="265"/>
        <item x="289"/>
        <item x="326"/>
        <item x="322"/>
        <item x="94"/>
        <item x="166"/>
        <item x="113"/>
        <item x="219"/>
        <item x="276"/>
        <item x="267"/>
        <item x="327"/>
        <item x="45"/>
        <item x="297"/>
        <item x="138"/>
        <item x="80"/>
        <item x="187"/>
        <item x="337"/>
        <item x="175"/>
        <item x="278"/>
        <item x="153"/>
        <item x="0"/>
        <item x="244"/>
        <item x="210"/>
        <item x="159"/>
        <item x="97"/>
        <item x="29"/>
        <item x="234"/>
        <item x="246"/>
        <item x="15"/>
        <item x="194"/>
        <item x="131"/>
        <item x="114"/>
        <item x="135"/>
        <item x="172"/>
        <item x="51"/>
        <item x="60"/>
        <item x="253"/>
        <item x="251"/>
        <item x="139"/>
        <item x="151"/>
        <item x="64"/>
        <item x="19"/>
        <item x="11"/>
        <item x="13"/>
        <item x="116"/>
        <item x="263"/>
        <item x="343"/>
        <item x="212"/>
        <item x="82"/>
        <item x="96"/>
        <item x="291"/>
        <item x="155"/>
        <item x="290"/>
        <item x="249"/>
        <item x="56"/>
        <item x="31"/>
        <item x="181"/>
        <item x="167"/>
        <item t="default"/>
      </items>
    </pivotField>
    <pivotField showAll="0"/>
    <pivotField showAll="0">
      <items count="6">
        <item x="3"/>
        <item x="1"/>
        <item x="0"/>
        <item x="2"/>
        <item x="4"/>
        <item t="default"/>
      </items>
    </pivotField>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h="1" sd="0"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Profit" fld="7" baseField="0" baseItem="0" numFmtId="164"/>
  </dataFields>
  <formats count="1">
    <format dxfId="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98B9452-8701-42F7-B83D-9A799DBC0DD1}" autoFormatId="16" applyNumberFormats="0" applyBorderFormats="0" applyFontFormats="0" applyPatternFormats="0" applyAlignmentFormats="0" applyWidthHeightFormats="0">
  <queryTableRefresh nextId="11">
    <queryTableFields count="8">
      <queryTableField id="1" name="Date" tableColumnId="1"/>
      <queryTableField id="10" dataBound="0" tableColumnId="10"/>
      <queryTableField id="9" dataBound="0" tableColumnId="9"/>
      <queryTableField id="2" name="Product" tableColumnId="2"/>
      <queryTableField id="3" name="Category" tableColumnId="3"/>
      <queryTableField id="4" name="Quantity" tableColumnId="4"/>
      <queryTableField id="5" name="Total Sales" tableColumnId="5"/>
      <queryTableField id="6" name="Profit" tableColumnId="6"/>
    </queryTableFields>
    <queryTableDeletedFields count="2">
      <deletedField name="Customer Name"/>
      <deletedField name="Region"/>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50AE41F8-A51D-4C90-9EBB-C1F90845F6E5}" sourceName="Months (Date)">
  <pivotTables>
    <pivotTable tabId="7" name="PivotTable3"/>
    <pivotTable tabId="7" name="PivotTable1"/>
    <pivotTable tabId="7" name="PivotTable4"/>
    <pivotTable tabId="7" name="PivotTable5"/>
    <pivotTable tabId="7" name="PivotTable6"/>
  </pivotTables>
  <data>
    <tabular pivotCacheId="1511027559">
      <items count="14">
        <i x="1" s="1"/>
        <i x="2" s="1"/>
        <i x="3" s="1"/>
        <i x="4" s="1"/>
        <i x="5" s="1"/>
        <i x="6" s="1"/>
        <i x="7" s="1"/>
        <i x="8" s="1"/>
        <i x="9" s="1"/>
        <i x="10" s="1"/>
        <i x="11" s="1"/>
        <i x="12" s="1"/>
        <i x="0" nd="1"/>
        <i x="1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918DB0B-3620-47CA-B854-DAC711683EDF}" sourceName="Region">
  <pivotTables>
    <pivotTable tabId="7" name="PivotTable4"/>
    <pivotTable tabId="7" name="PivotTable1"/>
    <pivotTable tabId="7" name="PivotTable3"/>
    <pivotTable tabId="7" name="PivotTable5"/>
    <pivotTable tabId="7" name="PivotTable6"/>
  </pivotTables>
  <data>
    <tabular pivotCacheId="1511027559">
      <items count="5">
        <i x="3" s="1"/>
        <i x="1" s="1"/>
        <i x="0"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1" xr10:uid="{FC8511EA-E293-46C4-B418-371D8E2EF6FF}" cache="Slicer_Months__Date" caption="Months" style="SlicerStyleLight4" rowHeight="504000"/>
  <slicer name="Region 1" xr10:uid="{BBAEF6D4-5E13-4489-AF4F-ADFF6ECE5EB9}" cache="Slicer_Region" caption="Region" columnCount="5" style="SlicerStyleLight4"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2B41D44-C75F-40DB-987E-18F07D7E2825}" name="Sales_Data__2" displayName="Sales_Data__2" ref="A1:H1001" tableType="queryTable" totalsRowShown="0">
  <autoFilter ref="A1:H1001" xr:uid="{62B41D44-C75F-40DB-987E-18F07D7E2825}"/>
  <tableColumns count="8">
    <tableColumn id="1" xr3:uid="{05C5B1BF-1FD4-4DA6-90EF-17D00A7F6840}" uniqueName="1" name="Date" queryTableFieldId="1" dataDxfId="69"/>
    <tableColumn id="10" xr3:uid="{25D4E107-AFCE-4E40-87A7-417F56A0203A}" uniqueName="10" name="Customer Name" queryTableFieldId="10" dataDxfId="68"/>
    <tableColumn id="9" xr3:uid="{7D3A743E-C1D8-4CFE-A0FB-B6A0BC7C78F2}" uniqueName="9" name="Region" queryTableFieldId="9" dataDxfId="67"/>
    <tableColumn id="2" xr3:uid="{ECB12594-68B7-4EFE-854C-B0205AD908DA}" uniqueName="2" name="Product" queryTableFieldId="2" dataDxfId="66"/>
    <tableColumn id="3" xr3:uid="{993E81D4-9A0C-4110-8A5A-7282D0A76B0B}" uniqueName="3" name="Category" queryTableFieldId="3" dataDxfId="65"/>
    <tableColumn id="4" xr3:uid="{E35230D2-6B2D-40E5-B097-94A835E961A3}" uniqueName="4" name="Quantity" queryTableFieldId="4"/>
    <tableColumn id="5" xr3:uid="{489298C6-9C3C-4299-8DF6-C224DBDE199D}" uniqueName="5" name="Total Sales" queryTableFieldId="5"/>
    <tableColumn id="6" xr3:uid="{DCB7DA7A-3605-4974-8997-6152954DD0C6}" uniqueName="6" name="Profit"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3314A-9986-4735-A532-B17816E19298}">
  <dimension ref="A1:H1001"/>
  <sheetViews>
    <sheetView workbookViewId="0"/>
  </sheetViews>
  <sheetFormatPr defaultRowHeight="14.4" x14ac:dyDescent="0.3"/>
  <cols>
    <col min="1" max="1" width="15.33203125" style="1" customWidth="1"/>
    <col min="2" max="2" width="20.5546875" customWidth="1"/>
    <col min="3" max="3" width="13.6640625" customWidth="1"/>
    <col min="4" max="4" width="14" customWidth="1"/>
    <col min="5" max="5" width="12.5546875" customWidth="1"/>
    <col min="6" max="6" width="10.33203125" bestFit="1" customWidth="1"/>
    <col min="7" max="7" width="12.33203125" bestFit="1" customWidth="1"/>
    <col min="8" max="8" width="10" bestFit="1" customWidth="1"/>
    <col min="11" max="11" width="14" customWidth="1"/>
  </cols>
  <sheetData>
    <row r="1" spans="1:8" x14ac:dyDescent="0.3">
      <c r="A1" s="1" t="s">
        <v>0</v>
      </c>
      <c r="B1" t="s">
        <v>1</v>
      </c>
      <c r="C1" t="s">
        <v>2</v>
      </c>
      <c r="D1" t="s">
        <v>3</v>
      </c>
      <c r="E1" t="s">
        <v>4</v>
      </c>
      <c r="F1" t="s">
        <v>5</v>
      </c>
      <c r="G1" t="s">
        <v>6</v>
      </c>
      <c r="H1" t="s">
        <v>7</v>
      </c>
    </row>
    <row r="2" spans="1:8" x14ac:dyDescent="0.3">
      <c r="A2" s="1">
        <v>45985</v>
      </c>
      <c r="B2" t="s">
        <v>8</v>
      </c>
      <c r="C2" t="s">
        <v>9</v>
      </c>
      <c r="D2" t="s">
        <v>10</v>
      </c>
      <c r="E2" t="s">
        <v>11</v>
      </c>
      <c r="F2">
        <v>1</v>
      </c>
      <c r="G2">
        <v>21012</v>
      </c>
      <c r="H2">
        <v>2555.7199999999998</v>
      </c>
    </row>
    <row r="3" spans="1:8" x14ac:dyDescent="0.3">
      <c r="A3" s="1">
        <v>45710</v>
      </c>
      <c r="B3" t="s">
        <v>12</v>
      </c>
      <c r="C3" t="s">
        <v>9</v>
      </c>
      <c r="D3" t="s">
        <v>13</v>
      </c>
      <c r="E3" t="s">
        <v>14</v>
      </c>
      <c r="F3">
        <v>12</v>
      </c>
      <c r="G3">
        <v>35196</v>
      </c>
      <c r="H3">
        <v>3335.86</v>
      </c>
    </row>
    <row r="4" spans="1:8" x14ac:dyDescent="0.3">
      <c r="A4" s="1">
        <v>45673</v>
      </c>
      <c r="B4" t="s">
        <v>15</v>
      </c>
      <c r="C4" t="s">
        <v>16</v>
      </c>
      <c r="D4" t="s">
        <v>10</v>
      </c>
      <c r="E4" t="s">
        <v>11</v>
      </c>
      <c r="F4">
        <v>4</v>
      </c>
      <c r="G4">
        <v>78492</v>
      </c>
      <c r="H4">
        <v>13022.64</v>
      </c>
    </row>
    <row r="5" spans="1:8" x14ac:dyDescent="0.3">
      <c r="A5" s="1">
        <v>45759</v>
      </c>
      <c r="B5" t="s">
        <v>17</v>
      </c>
      <c r="C5" t="s">
        <v>18</v>
      </c>
      <c r="D5" t="s">
        <v>19</v>
      </c>
      <c r="E5" t="s">
        <v>20</v>
      </c>
      <c r="F5">
        <v>11</v>
      </c>
      <c r="G5">
        <v>11198</v>
      </c>
      <c r="H5">
        <v>1933.22</v>
      </c>
    </row>
    <row r="6" spans="1:8" x14ac:dyDescent="0.3">
      <c r="A6" s="1">
        <v>45959</v>
      </c>
      <c r="B6" t="s">
        <v>21</v>
      </c>
      <c r="C6" t="s">
        <v>18</v>
      </c>
      <c r="D6" t="s">
        <v>22</v>
      </c>
      <c r="E6" t="s">
        <v>11</v>
      </c>
      <c r="F6">
        <v>1</v>
      </c>
      <c r="G6">
        <v>626</v>
      </c>
      <c r="H6">
        <v>124.38</v>
      </c>
    </row>
    <row r="7" spans="1:8" x14ac:dyDescent="0.3">
      <c r="A7" s="1">
        <v>45737</v>
      </c>
      <c r="B7" t="s">
        <v>23</v>
      </c>
      <c r="C7" t="s">
        <v>18</v>
      </c>
      <c r="D7" t="s">
        <v>24</v>
      </c>
      <c r="E7" t="s">
        <v>11</v>
      </c>
      <c r="F7">
        <v>6</v>
      </c>
      <c r="G7">
        <v>4254</v>
      </c>
      <c r="H7">
        <v>407.39</v>
      </c>
    </row>
    <row r="8" spans="1:8" x14ac:dyDescent="0.3">
      <c r="A8" s="1">
        <v>45834</v>
      </c>
      <c r="B8" t="s">
        <v>25</v>
      </c>
      <c r="C8" t="s">
        <v>9</v>
      </c>
      <c r="D8" t="s">
        <v>26</v>
      </c>
      <c r="E8" t="s">
        <v>27</v>
      </c>
      <c r="F8">
        <v>5</v>
      </c>
      <c r="G8">
        <v>1430</v>
      </c>
      <c r="H8">
        <v>124.96</v>
      </c>
    </row>
    <row r="9" spans="1:8" x14ac:dyDescent="0.3">
      <c r="A9" s="1">
        <v>45721</v>
      </c>
      <c r="B9" t="s">
        <v>28</v>
      </c>
      <c r="C9" t="s">
        <v>29</v>
      </c>
      <c r="D9" t="s">
        <v>30</v>
      </c>
      <c r="E9" t="s">
        <v>31</v>
      </c>
      <c r="F9">
        <v>7</v>
      </c>
      <c r="G9">
        <v>10654</v>
      </c>
      <c r="H9">
        <v>1852.16</v>
      </c>
    </row>
    <row r="10" spans="1:8" x14ac:dyDescent="0.3">
      <c r="A10" s="1">
        <v>45843</v>
      </c>
      <c r="B10" t="s">
        <v>32</v>
      </c>
      <c r="C10" t="s">
        <v>9</v>
      </c>
      <c r="D10" t="s">
        <v>26</v>
      </c>
      <c r="E10" t="s">
        <v>27</v>
      </c>
      <c r="F10">
        <v>4</v>
      </c>
      <c r="G10">
        <v>1040</v>
      </c>
      <c r="H10">
        <v>95.5</v>
      </c>
    </row>
    <row r="11" spans="1:8" x14ac:dyDescent="0.3">
      <c r="A11" s="1">
        <v>45806</v>
      </c>
      <c r="B11" t="s">
        <v>33</v>
      </c>
      <c r="C11" t="s">
        <v>29</v>
      </c>
      <c r="D11" t="s">
        <v>10</v>
      </c>
      <c r="E11" t="s">
        <v>11</v>
      </c>
      <c r="F11">
        <v>4</v>
      </c>
      <c r="G11">
        <v>61236</v>
      </c>
      <c r="H11">
        <v>8856.0400000000009</v>
      </c>
    </row>
    <row r="12" spans="1:8" x14ac:dyDescent="0.3">
      <c r="A12" s="1">
        <v>45844</v>
      </c>
      <c r="B12" t="s">
        <v>34</v>
      </c>
      <c r="C12" t="s">
        <v>35</v>
      </c>
      <c r="D12" t="s">
        <v>36</v>
      </c>
      <c r="E12" t="s">
        <v>11</v>
      </c>
      <c r="F12">
        <v>6</v>
      </c>
      <c r="G12">
        <v>22260</v>
      </c>
      <c r="H12">
        <v>2573.62</v>
      </c>
    </row>
    <row r="13" spans="1:8" x14ac:dyDescent="0.3">
      <c r="A13" s="1">
        <v>46007</v>
      </c>
      <c r="B13" t="s">
        <v>37</v>
      </c>
      <c r="C13" t="s">
        <v>9</v>
      </c>
      <c r="D13" t="s">
        <v>13</v>
      </c>
      <c r="E13" t="s">
        <v>14</v>
      </c>
      <c r="F13">
        <v>2</v>
      </c>
      <c r="G13">
        <v>6390</v>
      </c>
      <c r="H13">
        <v>1200.98</v>
      </c>
    </row>
    <row r="14" spans="1:8" x14ac:dyDescent="0.3">
      <c r="A14" s="1">
        <v>45783</v>
      </c>
      <c r="B14" t="s">
        <v>38</v>
      </c>
      <c r="C14" t="s">
        <v>9</v>
      </c>
      <c r="D14" t="s">
        <v>36</v>
      </c>
      <c r="E14" t="s">
        <v>11</v>
      </c>
      <c r="F14">
        <v>8</v>
      </c>
      <c r="G14">
        <v>31264</v>
      </c>
      <c r="H14">
        <v>3935.86</v>
      </c>
    </row>
    <row r="15" spans="1:8" x14ac:dyDescent="0.3">
      <c r="A15" s="1">
        <v>46008</v>
      </c>
      <c r="B15" t="s">
        <v>39</v>
      </c>
      <c r="C15" t="s">
        <v>9</v>
      </c>
      <c r="D15" t="s">
        <v>40</v>
      </c>
      <c r="E15" t="s">
        <v>11</v>
      </c>
      <c r="F15">
        <v>1</v>
      </c>
      <c r="G15">
        <v>15505</v>
      </c>
      <c r="H15">
        <v>3406.55</v>
      </c>
    </row>
    <row r="16" spans="1:8" x14ac:dyDescent="0.3">
      <c r="A16" s="1">
        <v>45795</v>
      </c>
      <c r="B16" t="s">
        <v>41</v>
      </c>
      <c r="C16" t="s">
        <v>18</v>
      </c>
      <c r="D16" t="s">
        <v>10</v>
      </c>
      <c r="E16" t="s">
        <v>11</v>
      </c>
      <c r="F16">
        <v>4</v>
      </c>
      <c r="G16">
        <v>122340</v>
      </c>
      <c r="H16">
        <v>28013.72</v>
      </c>
    </row>
    <row r="17" spans="1:8" x14ac:dyDescent="0.3">
      <c r="A17" s="1">
        <v>45993</v>
      </c>
      <c r="B17" t="s">
        <v>42</v>
      </c>
      <c r="C17" t="s">
        <v>18</v>
      </c>
      <c r="D17" t="s">
        <v>43</v>
      </c>
      <c r="E17" t="s">
        <v>44</v>
      </c>
      <c r="F17">
        <v>7</v>
      </c>
      <c r="G17">
        <v>101724</v>
      </c>
      <c r="H17">
        <v>16072.88</v>
      </c>
    </row>
    <row r="18" spans="1:8" x14ac:dyDescent="0.3">
      <c r="A18" s="1">
        <v>45784</v>
      </c>
      <c r="B18" t="s">
        <v>45</v>
      </c>
      <c r="C18" t="s">
        <v>29</v>
      </c>
      <c r="D18" t="s">
        <v>19</v>
      </c>
      <c r="E18" t="s">
        <v>20</v>
      </c>
      <c r="F18">
        <v>9</v>
      </c>
      <c r="G18">
        <v>7659</v>
      </c>
      <c r="H18">
        <v>954.82</v>
      </c>
    </row>
    <row r="19" spans="1:8" x14ac:dyDescent="0.3">
      <c r="A19" s="1">
        <v>45956</v>
      </c>
      <c r="B19" t="s">
        <v>46</v>
      </c>
      <c r="C19" t="s">
        <v>29</v>
      </c>
      <c r="D19" t="s">
        <v>47</v>
      </c>
      <c r="E19" t="s">
        <v>44</v>
      </c>
      <c r="F19">
        <v>6</v>
      </c>
      <c r="G19">
        <v>51558</v>
      </c>
      <c r="H19">
        <v>12866.06</v>
      </c>
    </row>
    <row r="20" spans="1:8" x14ac:dyDescent="0.3">
      <c r="A20" s="1">
        <v>45910</v>
      </c>
      <c r="B20" t="s">
        <v>48</v>
      </c>
      <c r="C20" t="s">
        <v>9</v>
      </c>
      <c r="D20" t="s">
        <v>10</v>
      </c>
      <c r="E20" t="s">
        <v>11</v>
      </c>
      <c r="F20">
        <v>1</v>
      </c>
      <c r="G20">
        <v>15592</v>
      </c>
      <c r="H20">
        <v>1652.49</v>
      </c>
    </row>
    <row r="21" spans="1:8" x14ac:dyDescent="0.3">
      <c r="A21" s="1">
        <v>46006</v>
      </c>
      <c r="B21" t="s">
        <v>49</v>
      </c>
      <c r="C21" t="s">
        <v>29</v>
      </c>
      <c r="D21" t="s">
        <v>47</v>
      </c>
      <c r="E21" t="s">
        <v>44</v>
      </c>
      <c r="F21">
        <v>10</v>
      </c>
      <c r="G21">
        <v>60400</v>
      </c>
      <c r="H21">
        <v>8782.7900000000009</v>
      </c>
    </row>
    <row r="22" spans="1:8" x14ac:dyDescent="0.3">
      <c r="A22" s="1">
        <v>45928</v>
      </c>
      <c r="B22" t="s">
        <v>50</v>
      </c>
      <c r="C22" t="s">
        <v>18</v>
      </c>
      <c r="D22" t="s">
        <v>22</v>
      </c>
      <c r="E22" t="s">
        <v>11</v>
      </c>
      <c r="F22">
        <v>9</v>
      </c>
      <c r="G22">
        <v>2907</v>
      </c>
      <c r="H22">
        <v>568.75</v>
      </c>
    </row>
    <row r="23" spans="1:8" x14ac:dyDescent="0.3">
      <c r="A23" s="1">
        <v>45932</v>
      </c>
      <c r="B23" t="s">
        <v>51</v>
      </c>
      <c r="C23" t="s">
        <v>29</v>
      </c>
      <c r="D23" t="s">
        <v>52</v>
      </c>
      <c r="E23" t="s">
        <v>31</v>
      </c>
      <c r="F23">
        <v>5</v>
      </c>
      <c r="G23">
        <v>19930</v>
      </c>
      <c r="H23">
        <v>1972.35</v>
      </c>
    </row>
    <row r="24" spans="1:8" x14ac:dyDescent="0.3">
      <c r="A24" s="1">
        <v>45890</v>
      </c>
      <c r="B24" t="s">
        <v>53</v>
      </c>
      <c r="C24" t="s">
        <v>35</v>
      </c>
      <c r="D24" t="s">
        <v>54</v>
      </c>
      <c r="E24" t="s">
        <v>11</v>
      </c>
      <c r="F24">
        <v>12</v>
      </c>
      <c r="G24">
        <v>643560</v>
      </c>
      <c r="H24">
        <v>157814.41</v>
      </c>
    </row>
    <row r="25" spans="1:8" x14ac:dyDescent="0.3">
      <c r="A25" s="1">
        <v>45712</v>
      </c>
      <c r="B25" t="s">
        <v>55</v>
      </c>
      <c r="C25" t="s">
        <v>18</v>
      </c>
      <c r="D25" t="s">
        <v>56</v>
      </c>
      <c r="E25" t="s">
        <v>31</v>
      </c>
      <c r="F25">
        <v>11</v>
      </c>
      <c r="G25">
        <v>12221</v>
      </c>
      <c r="H25">
        <v>2726.31</v>
      </c>
    </row>
    <row r="26" spans="1:8" x14ac:dyDescent="0.3">
      <c r="A26" s="1">
        <v>45759</v>
      </c>
      <c r="B26" t="s">
        <v>57</v>
      </c>
      <c r="C26" t="s">
        <v>35</v>
      </c>
      <c r="D26" t="s">
        <v>36</v>
      </c>
      <c r="E26" t="s">
        <v>11</v>
      </c>
      <c r="F26">
        <v>6</v>
      </c>
      <c r="G26">
        <v>12738</v>
      </c>
      <c r="H26">
        <v>2187.04</v>
      </c>
    </row>
    <row r="27" spans="1:8" x14ac:dyDescent="0.3">
      <c r="A27" s="1">
        <v>45658</v>
      </c>
      <c r="B27" t="s">
        <v>58</v>
      </c>
      <c r="C27" t="s">
        <v>29</v>
      </c>
      <c r="D27" t="s">
        <v>26</v>
      </c>
      <c r="E27" t="s">
        <v>27</v>
      </c>
      <c r="F27">
        <v>6</v>
      </c>
      <c r="G27">
        <v>1230</v>
      </c>
      <c r="H27">
        <v>102.47</v>
      </c>
    </row>
    <row r="28" spans="1:8" x14ac:dyDescent="0.3">
      <c r="A28" s="1">
        <v>45815</v>
      </c>
      <c r="B28" t="s">
        <v>59</v>
      </c>
      <c r="C28" t="s">
        <v>16</v>
      </c>
      <c r="D28" t="s">
        <v>24</v>
      </c>
      <c r="E28" t="s">
        <v>11</v>
      </c>
      <c r="F28">
        <v>1</v>
      </c>
      <c r="G28">
        <v>993</v>
      </c>
      <c r="H28">
        <v>227.66</v>
      </c>
    </row>
    <row r="29" spans="1:8" x14ac:dyDescent="0.3">
      <c r="A29" s="1">
        <v>45906</v>
      </c>
      <c r="B29" t="s">
        <v>60</v>
      </c>
      <c r="C29" t="s">
        <v>9</v>
      </c>
      <c r="D29" t="s">
        <v>56</v>
      </c>
      <c r="E29" t="s">
        <v>31</v>
      </c>
      <c r="F29">
        <v>2</v>
      </c>
      <c r="G29">
        <v>3180</v>
      </c>
      <c r="H29">
        <v>668.41</v>
      </c>
    </row>
    <row r="30" spans="1:8" x14ac:dyDescent="0.3">
      <c r="A30" s="1">
        <v>45901</v>
      </c>
      <c r="B30" t="s">
        <v>61</v>
      </c>
      <c r="C30" t="s">
        <v>18</v>
      </c>
      <c r="D30" t="s">
        <v>62</v>
      </c>
      <c r="E30" t="s">
        <v>27</v>
      </c>
      <c r="F30">
        <v>3</v>
      </c>
      <c r="G30">
        <v>351</v>
      </c>
      <c r="H30">
        <v>59.57</v>
      </c>
    </row>
    <row r="31" spans="1:8" x14ac:dyDescent="0.3">
      <c r="A31" s="1">
        <v>45766</v>
      </c>
      <c r="B31" t="s">
        <v>63</v>
      </c>
      <c r="C31" t="s">
        <v>35</v>
      </c>
      <c r="D31" t="s">
        <v>30</v>
      </c>
      <c r="E31" t="s">
        <v>31</v>
      </c>
      <c r="F31">
        <v>9</v>
      </c>
      <c r="G31">
        <v>18207</v>
      </c>
      <c r="H31">
        <v>3663.27</v>
      </c>
    </row>
    <row r="32" spans="1:8" x14ac:dyDescent="0.3">
      <c r="A32" s="1">
        <v>45990</v>
      </c>
      <c r="B32" t="s">
        <v>64</v>
      </c>
      <c r="C32" t="s">
        <v>16</v>
      </c>
      <c r="D32" t="s">
        <v>40</v>
      </c>
      <c r="E32" t="s">
        <v>11</v>
      </c>
      <c r="F32">
        <v>8</v>
      </c>
      <c r="G32">
        <v>199672</v>
      </c>
      <c r="H32">
        <v>31299.11</v>
      </c>
    </row>
    <row r="33" spans="1:8" x14ac:dyDescent="0.3">
      <c r="A33" s="1">
        <v>45690</v>
      </c>
      <c r="B33" t="s">
        <v>65</v>
      </c>
      <c r="C33" t="s">
        <v>16</v>
      </c>
      <c r="D33" t="s">
        <v>40</v>
      </c>
      <c r="E33" t="s">
        <v>11</v>
      </c>
      <c r="F33">
        <v>1</v>
      </c>
      <c r="G33">
        <v>15540</v>
      </c>
      <c r="H33">
        <v>2797.74</v>
      </c>
    </row>
    <row r="34" spans="1:8" x14ac:dyDescent="0.3">
      <c r="A34" s="1">
        <v>46020</v>
      </c>
      <c r="B34" t="s">
        <v>66</v>
      </c>
      <c r="C34" t="s">
        <v>18</v>
      </c>
      <c r="D34" t="s">
        <v>13</v>
      </c>
      <c r="E34" t="s">
        <v>14</v>
      </c>
      <c r="F34">
        <v>1</v>
      </c>
      <c r="G34">
        <v>1637</v>
      </c>
      <c r="H34">
        <v>149.72</v>
      </c>
    </row>
    <row r="35" spans="1:8" x14ac:dyDescent="0.3">
      <c r="A35" s="1">
        <v>45827</v>
      </c>
      <c r="B35" t="s">
        <v>67</v>
      </c>
      <c r="C35" t="s">
        <v>18</v>
      </c>
      <c r="D35" t="s">
        <v>10</v>
      </c>
      <c r="E35" t="s">
        <v>11</v>
      </c>
      <c r="F35">
        <v>9</v>
      </c>
      <c r="G35">
        <v>178182</v>
      </c>
      <c r="H35">
        <v>22689.9</v>
      </c>
    </row>
    <row r="36" spans="1:8" x14ac:dyDescent="0.3">
      <c r="A36" s="1">
        <v>45934</v>
      </c>
      <c r="B36" t="s">
        <v>68</v>
      </c>
      <c r="C36" t="s">
        <v>16</v>
      </c>
      <c r="D36" t="s">
        <v>36</v>
      </c>
      <c r="E36" t="s">
        <v>11</v>
      </c>
      <c r="F36">
        <v>12</v>
      </c>
      <c r="G36">
        <v>56064</v>
      </c>
      <c r="H36">
        <v>6801.1</v>
      </c>
    </row>
    <row r="37" spans="1:8" x14ac:dyDescent="0.3">
      <c r="A37" s="1">
        <v>45866</v>
      </c>
      <c r="B37" t="s">
        <v>69</v>
      </c>
      <c r="C37" t="s">
        <v>9</v>
      </c>
      <c r="D37" t="s">
        <v>24</v>
      </c>
      <c r="E37" t="s">
        <v>11</v>
      </c>
      <c r="F37">
        <v>2</v>
      </c>
      <c r="G37">
        <v>1396</v>
      </c>
      <c r="H37">
        <v>268.07</v>
      </c>
    </row>
    <row r="38" spans="1:8" x14ac:dyDescent="0.3">
      <c r="A38" s="1">
        <v>45868</v>
      </c>
      <c r="B38" t="s">
        <v>70</v>
      </c>
      <c r="C38" t="s">
        <v>9</v>
      </c>
      <c r="D38" t="s">
        <v>43</v>
      </c>
      <c r="E38" t="s">
        <v>44</v>
      </c>
      <c r="F38">
        <v>12</v>
      </c>
      <c r="G38">
        <v>58644</v>
      </c>
      <c r="H38">
        <v>11404.61</v>
      </c>
    </row>
    <row r="39" spans="1:8" x14ac:dyDescent="0.3">
      <c r="A39" s="1">
        <v>45864</v>
      </c>
      <c r="B39" t="s">
        <v>64</v>
      </c>
      <c r="C39" t="s">
        <v>35</v>
      </c>
      <c r="D39" t="s">
        <v>19</v>
      </c>
      <c r="E39" t="s">
        <v>20</v>
      </c>
      <c r="F39">
        <v>6</v>
      </c>
      <c r="G39">
        <v>6714</v>
      </c>
      <c r="H39">
        <v>1520.62</v>
      </c>
    </row>
    <row r="40" spans="1:8" x14ac:dyDescent="0.3">
      <c r="A40" s="1">
        <v>45755</v>
      </c>
      <c r="B40" t="s">
        <v>71</v>
      </c>
      <c r="C40" t="s">
        <v>9</v>
      </c>
      <c r="D40" t="s">
        <v>62</v>
      </c>
      <c r="E40" t="s">
        <v>27</v>
      </c>
      <c r="F40">
        <v>8</v>
      </c>
      <c r="G40">
        <v>680</v>
      </c>
      <c r="H40">
        <v>103.17</v>
      </c>
    </row>
    <row r="41" spans="1:8" x14ac:dyDescent="0.3">
      <c r="A41" s="1">
        <v>45785</v>
      </c>
      <c r="B41" t="s">
        <v>72</v>
      </c>
      <c r="C41" t="s">
        <v>16</v>
      </c>
      <c r="D41" t="s">
        <v>56</v>
      </c>
      <c r="E41" t="s">
        <v>31</v>
      </c>
      <c r="F41">
        <v>2</v>
      </c>
      <c r="G41">
        <v>2814</v>
      </c>
      <c r="H41">
        <v>611.66</v>
      </c>
    </row>
    <row r="42" spans="1:8" x14ac:dyDescent="0.3">
      <c r="A42" s="1">
        <v>45683</v>
      </c>
      <c r="B42" t="s">
        <v>73</v>
      </c>
      <c r="C42" t="s">
        <v>16</v>
      </c>
      <c r="D42" t="s">
        <v>13</v>
      </c>
      <c r="E42" t="s">
        <v>14</v>
      </c>
      <c r="F42">
        <v>9</v>
      </c>
      <c r="G42">
        <v>6840</v>
      </c>
      <c r="H42">
        <v>1673.95</v>
      </c>
    </row>
    <row r="43" spans="1:8" x14ac:dyDescent="0.3">
      <c r="A43" s="1">
        <v>45866</v>
      </c>
      <c r="B43" t="s">
        <v>74</v>
      </c>
      <c r="C43" t="s">
        <v>29</v>
      </c>
      <c r="D43" t="s">
        <v>43</v>
      </c>
      <c r="E43" t="s">
        <v>44</v>
      </c>
      <c r="F43">
        <v>8</v>
      </c>
      <c r="G43">
        <v>60016</v>
      </c>
      <c r="H43">
        <v>13623.07</v>
      </c>
    </row>
    <row r="44" spans="1:8" x14ac:dyDescent="0.3">
      <c r="A44" s="1">
        <v>45852</v>
      </c>
      <c r="B44" t="s">
        <v>75</v>
      </c>
      <c r="C44" t="s">
        <v>16</v>
      </c>
      <c r="D44" t="s">
        <v>54</v>
      </c>
      <c r="E44" t="s">
        <v>11</v>
      </c>
      <c r="F44">
        <v>7</v>
      </c>
      <c r="G44">
        <v>375830</v>
      </c>
      <c r="H44">
        <v>89262.66</v>
      </c>
    </row>
    <row r="45" spans="1:8" x14ac:dyDescent="0.3">
      <c r="A45" s="1">
        <v>45874</v>
      </c>
      <c r="B45" t="s">
        <v>76</v>
      </c>
      <c r="C45" t="s">
        <v>9</v>
      </c>
      <c r="D45" t="s">
        <v>19</v>
      </c>
      <c r="E45" t="s">
        <v>20</v>
      </c>
      <c r="F45">
        <v>12</v>
      </c>
      <c r="G45">
        <v>13224</v>
      </c>
      <c r="H45">
        <v>2307.33</v>
      </c>
    </row>
    <row r="46" spans="1:8" x14ac:dyDescent="0.3">
      <c r="A46" s="1">
        <v>45755</v>
      </c>
      <c r="B46" t="s">
        <v>77</v>
      </c>
      <c r="C46" t="s">
        <v>35</v>
      </c>
      <c r="D46" t="s">
        <v>22</v>
      </c>
      <c r="E46" t="s">
        <v>11</v>
      </c>
      <c r="F46">
        <v>4</v>
      </c>
      <c r="G46">
        <v>1676</v>
      </c>
      <c r="H46">
        <v>299.10000000000002</v>
      </c>
    </row>
    <row r="47" spans="1:8" x14ac:dyDescent="0.3">
      <c r="A47" s="1">
        <v>45818</v>
      </c>
      <c r="B47" t="s">
        <v>78</v>
      </c>
      <c r="C47" t="s">
        <v>29</v>
      </c>
      <c r="D47" t="s">
        <v>54</v>
      </c>
      <c r="E47" t="s">
        <v>11</v>
      </c>
      <c r="F47">
        <v>1</v>
      </c>
      <c r="G47">
        <v>64142</v>
      </c>
      <c r="H47">
        <v>10330.33</v>
      </c>
    </row>
    <row r="48" spans="1:8" x14ac:dyDescent="0.3">
      <c r="A48" s="1">
        <v>45687</v>
      </c>
      <c r="B48" t="s">
        <v>79</v>
      </c>
      <c r="C48" t="s">
        <v>9</v>
      </c>
      <c r="D48" t="s">
        <v>62</v>
      </c>
      <c r="E48" t="s">
        <v>27</v>
      </c>
      <c r="F48">
        <v>2</v>
      </c>
      <c r="G48">
        <v>194</v>
      </c>
      <c r="H48">
        <v>17.78</v>
      </c>
    </row>
    <row r="49" spans="1:8" x14ac:dyDescent="0.3">
      <c r="A49" s="1">
        <v>45778</v>
      </c>
      <c r="B49" t="s">
        <v>80</v>
      </c>
      <c r="C49" t="s">
        <v>35</v>
      </c>
      <c r="D49" t="s">
        <v>47</v>
      </c>
      <c r="E49" t="s">
        <v>44</v>
      </c>
      <c r="F49">
        <v>2</v>
      </c>
      <c r="G49">
        <v>28666</v>
      </c>
      <c r="H49">
        <v>3493.14</v>
      </c>
    </row>
    <row r="50" spans="1:8" x14ac:dyDescent="0.3">
      <c r="A50" s="1">
        <v>45975</v>
      </c>
      <c r="B50" t="s">
        <v>81</v>
      </c>
      <c r="C50" t="s">
        <v>9</v>
      </c>
      <c r="D50" t="s">
        <v>10</v>
      </c>
      <c r="E50" t="s">
        <v>11</v>
      </c>
      <c r="F50">
        <v>7</v>
      </c>
      <c r="G50">
        <v>234780</v>
      </c>
      <c r="H50">
        <v>42078.28</v>
      </c>
    </row>
    <row r="51" spans="1:8" x14ac:dyDescent="0.3">
      <c r="A51" s="1">
        <v>45791</v>
      </c>
      <c r="B51" t="s">
        <v>82</v>
      </c>
      <c r="C51" t="s">
        <v>29</v>
      </c>
      <c r="D51" t="s">
        <v>24</v>
      </c>
      <c r="E51" t="s">
        <v>11</v>
      </c>
      <c r="F51">
        <v>11</v>
      </c>
      <c r="G51">
        <v>21626</v>
      </c>
      <c r="H51">
        <v>2885.15</v>
      </c>
    </row>
    <row r="52" spans="1:8" x14ac:dyDescent="0.3">
      <c r="A52" s="1">
        <v>45725</v>
      </c>
      <c r="B52" t="s">
        <v>83</v>
      </c>
      <c r="C52" t="s">
        <v>16</v>
      </c>
      <c r="D52" t="s">
        <v>13</v>
      </c>
      <c r="E52" t="s">
        <v>14</v>
      </c>
      <c r="F52">
        <v>11</v>
      </c>
      <c r="G52">
        <v>21208</v>
      </c>
      <c r="H52">
        <v>3345.1</v>
      </c>
    </row>
    <row r="53" spans="1:8" x14ac:dyDescent="0.3">
      <c r="A53" s="1">
        <v>45892</v>
      </c>
      <c r="B53" t="s">
        <v>84</v>
      </c>
      <c r="C53" t="s">
        <v>29</v>
      </c>
      <c r="D53" t="s">
        <v>26</v>
      </c>
      <c r="E53" t="s">
        <v>27</v>
      </c>
      <c r="F53">
        <v>10</v>
      </c>
      <c r="G53">
        <v>1050</v>
      </c>
      <c r="H53">
        <v>97.08</v>
      </c>
    </row>
    <row r="54" spans="1:8" x14ac:dyDescent="0.3">
      <c r="A54" s="1">
        <v>45793</v>
      </c>
      <c r="B54" t="s">
        <v>85</v>
      </c>
      <c r="C54" t="s">
        <v>16</v>
      </c>
      <c r="D54" t="s">
        <v>36</v>
      </c>
      <c r="E54" t="s">
        <v>11</v>
      </c>
      <c r="F54">
        <v>6</v>
      </c>
      <c r="G54">
        <v>8178</v>
      </c>
      <c r="H54">
        <v>1876.65</v>
      </c>
    </row>
    <row r="55" spans="1:8" x14ac:dyDescent="0.3">
      <c r="A55" s="1">
        <v>45738</v>
      </c>
      <c r="B55" t="s">
        <v>86</v>
      </c>
      <c r="C55" t="s">
        <v>29</v>
      </c>
      <c r="D55" t="s">
        <v>43</v>
      </c>
      <c r="E55" t="s">
        <v>44</v>
      </c>
      <c r="F55">
        <v>9</v>
      </c>
      <c r="G55">
        <v>80604</v>
      </c>
      <c r="H55">
        <v>14829.94</v>
      </c>
    </row>
    <row r="56" spans="1:8" x14ac:dyDescent="0.3">
      <c r="A56" s="1">
        <v>45999</v>
      </c>
      <c r="B56" t="s">
        <v>87</v>
      </c>
      <c r="C56" t="s">
        <v>18</v>
      </c>
      <c r="D56" t="s">
        <v>56</v>
      </c>
      <c r="E56" t="s">
        <v>31</v>
      </c>
      <c r="F56">
        <v>9</v>
      </c>
      <c r="G56">
        <v>10017</v>
      </c>
      <c r="H56">
        <v>2388.04</v>
      </c>
    </row>
    <row r="57" spans="1:8" x14ac:dyDescent="0.3">
      <c r="A57" s="1">
        <v>45726</v>
      </c>
      <c r="B57" t="s">
        <v>88</v>
      </c>
      <c r="C57" t="s">
        <v>9</v>
      </c>
      <c r="D57" t="s">
        <v>22</v>
      </c>
      <c r="E57" t="s">
        <v>11</v>
      </c>
      <c r="F57">
        <v>2</v>
      </c>
      <c r="G57">
        <v>1038</v>
      </c>
      <c r="H57">
        <v>214.05</v>
      </c>
    </row>
    <row r="58" spans="1:8" x14ac:dyDescent="0.3">
      <c r="A58" s="1">
        <v>45802</v>
      </c>
      <c r="B58" t="s">
        <v>89</v>
      </c>
      <c r="C58" t="s">
        <v>9</v>
      </c>
      <c r="D58" t="s">
        <v>26</v>
      </c>
      <c r="E58" t="s">
        <v>27</v>
      </c>
      <c r="F58">
        <v>4</v>
      </c>
      <c r="G58">
        <v>1052</v>
      </c>
      <c r="H58">
        <v>145.47999999999999</v>
      </c>
    </row>
    <row r="59" spans="1:8" x14ac:dyDescent="0.3">
      <c r="A59" s="1">
        <v>45908</v>
      </c>
      <c r="B59" t="s">
        <v>90</v>
      </c>
      <c r="C59" t="s">
        <v>18</v>
      </c>
      <c r="D59" t="s">
        <v>22</v>
      </c>
      <c r="E59" t="s">
        <v>11</v>
      </c>
      <c r="F59">
        <v>1</v>
      </c>
      <c r="G59">
        <v>489</v>
      </c>
      <c r="H59">
        <v>91.85</v>
      </c>
    </row>
    <row r="60" spans="1:8" x14ac:dyDescent="0.3">
      <c r="A60" s="1">
        <v>45659</v>
      </c>
      <c r="B60" t="s">
        <v>25</v>
      </c>
      <c r="C60" t="s">
        <v>16</v>
      </c>
      <c r="D60" t="s">
        <v>40</v>
      </c>
      <c r="E60" t="s">
        <v>11</v>
      </c>
      <c r="F60">
        <v>3</v>
      </c>
      <c r="G60">
        <v>49749</v>
      </c>
      <c r="H60">
        <v>5346.47</v>
      </c>
    </row>
    <row r="61" spans="1:8" x14ac:dyDescent="0.3">
      <c r="A61" s="1">
        <v>46019</v>
      </c>
      <c r="B61" t="s">
        <v>46</v>
      </c>
      <c r="C61" t="s">
        <v>9</v>
      </c>
      <c r="D61" t="s">
        <v>47</v>
      </c>
      <c r="E61" t="s">
        <v>44</v>
      </c>
      <c r="F61">
        <v>9</v>
      </c>
      <c r="G61">
        <v>46422</v>
      </c>
      <c r="H61">
        <v>4596.6400000000003</v>
      </c>
    </row>
    <row r="62" spans="1:8" x14ac:dyDescent="0.3">
      <c r="A62" s="1">
        <v>45676</v>
      </c>
      <c r="B62" t="s">
        <v>51</v>
      </c>
      <c r="C62" t="s">
        <v>18</v>
      </c>
      <c r="D62" t="s">
        <v>56</v>
      </c>
      <c r="E62" t="s">
        <v>31</v>
      </c>
      <c r="F62">
        <v>6</v>
      </c>
      <c r="G62">
        <v>10152</v>
      </c>
      <c r="H62">
        <v>1765.73</v>
      </c>
    </row>
    <row r="63" spans="1:8" x14ac:dyDescent="0.3">
      <c r="A63" s="1">
        <v>45679</v>
      </c>
      <c r="B63" t="s">
        <v>91</v>
      </c>
      <c r="C63" t="s">
        <v>9</v>
      </c>
      <c r="D63" t="s">
        <v>22</v>
      </c>
      <c r="E63" t="s">
        <v>11</v>
      </c>
      <c r="F63">
        <v>6</v>
      </c>
      <c r="G63">
        <v>2286</v>
      </c>
      <c r="H63">
        <v>532.22</v>
      </c>
    </row>
    <row r="64" spans="1:8" x14ac:dyDescent="0.3">
      <c r="A64" s="1">
        <v>45785</v>
      </c>
      <c r="B64" t="s">
        <v>92</v>
      </c>
      <c r="C64" t="s">
        <v>35</v>
      </c>
      <c r="D64" t="s">
        <v>13</v>
      </c>
      <c r="E64" t="s">
        <v>14</v>
      </c>
      <c r="F64">
        <v>2</v>
      </c>
      <c r="G64">
        <v>4296</v>
      </c>
      <c r="H64">
        <v>913.41</v>
      </c>
    </row>
    <row r="65" spans="1:8" x14ac:dyDescent="0.3">
      <c r="A65" s="1">
        <v>45737</v>
      </c>
      <c r="B65" t="s">
        <v>93</v>
      </c>
      <c r="C65" t="s">
        <v>16</v>
      </c>
      <c r="D65" t="s">
        <v>30</v>
      </c>
      <c r="E65" t="s">
        <v>31</v>
      </c>
      <c r="F65">
        <v>4</v>
      </c>
      <c r="G65">
        <v>7460</v>
      </c>
      <c r="H65">
        <v>1834.82</v>
      </c>
    </row>
    <row r="66" spans="1:8" x14ac:dyDescent="0.3">
      <c r="A66" s="1">
        <v>45869</v>
      </c>
      <c r="B66" t="s">
        <v>94</v>
      </c>
      <c r="C66" t="s">
        <v>35</v>
      </c>
      <c r="D66" t="s">
        <v>54</v>
      </c>
      <c r="E66" t="s">
        <v>11</v>
      </c>
      <c r="F66">
        <v>3</v>
      </c>
      <c r="G66">
        <v>167655</v>
      </c>
      <c r="H66">
        <v>35711.47</v>
      </c>
    </row>
    <row r="67" spans="1:8" x14ac:dyDescent="0.3">
      <c r="A67" s="1">
        <v>46000</v>
      </c>
      <c r="B67" t="s">
        <v>95</v>
      </c>
      <c r="C67" t="s">
        <v>16</v>
      </c>
      <c r="D67" t="s">
        <v>56</v>
      </c>
      <c r="E67" t="s">
        <v>31</v>
      </c>
      <c r="F67">
        <v>12</v>
      </c>
      <c r="G67">
        <v>12096</v>
      </c>
      <c r="H67">
        <v>1516.32</v>
      </c>
    </row>
    <row r="68" spans="1:8" x14ac:dyDescent="0.3">
      <c r="A68" s="1">
        <v>45677</v>
      </c>
      <c r="B68" t="s">
        <v>96</v>
      </c>
      <c r="C68" t="s">
        <v>18</v>
      </c>
      <c r="D68" t="s">
        <v>56</v>
      </c>
      <c r="E68" t="s">
        <v>31</v>
      </c>
      <c r="F68">
        <v>8</v>
      </c>
      <c r="G68">
        <v>7640</v>
      </c>
      <c r="H68">
        <v>870.41</v>
      </c>
    </row>
    <row r="69" spans="1:8" x14ac:dyDescent="0.3">
      <c r="A69" s="1">
        <v>45814</v>
      </c>
      <c r="B69" t="s">
        <v>97</v>
      </c>
      <c r="C69" t="s">
        <v>16</v>
      </c>
      <c r="D69" t="s">
        <v>56</v>
      </c>
      <c r="E69" t="s">
        <v>31</v>
      </c>
      <c r="F69">
        <v>4</v>
      </c>
      <c r="G69">
        <v>3824</v>
      </c>
      <c r="H69">
        <v>321.3</v>
      </c>
    </row>
    <row r="70" spans="1:8" x14ac:dyDescent="0.3">
      <c r="A70" s="1">
        <v>45826</v>
      </c>
      <c r="B70" t="s">
        <v>98</v>
      </c>
      <c r="C70" t="s">
        <v>16</v>
      </c>
      <c r="D70" t="s">
        <v>22</v>
      </c>
      <c r="E70" t="s">
        <v>11</v>
      </c>
      <c r="F70">
        <v>2</v>
      </c>
      <c r="G70">
        <v>1742</v>
      </c>
      <c r="H70">
        <v>243.35</v>
      </c>
    </row>
    <row r="71" spans="1:8" x14ac:dyDescent="0.3">
      <c r="A71" s="1">
        <v>46005</v>
      </c>
      <c r="B71" t="s">
        <v>87</v>
      </c>
      <c r="C71" t="s">
        <v>18</v>
      </c>
      <c r="D71" t="s">
        <v>56</v>
      </c>
      <c r="E71" t="s">
        <v>31</v>
      </c>
      <c r="F71">
        <v>9</v>
      </c>
      <c r="G71">
        <v>10602</v>
      </c>
      <c r="H71">
        <v>2540.98</v>
      </c>
    </row>
    <row r="72" spans="1:8" x14ac:dyDescent="0.3">
      <c r="A72" s="1">
        <v>45791</v>
      </c>
      <c r="B72" t="s">
        <v>61</v>
      </c>
      <c r="C72" t="s">
        <v>16</v>
      </c>
      <c r="D72" t="s">
        <v>36</v>
      </c>
      <c r="E72" t="s">
        <v>11</v>
      </c>
      <c r="F72">
        <v>10</v>
      </c>
      <c r="G72">
        <v>29740</v>
      </c>
      <c r="H72">
        <v>2572.62</v>
      </c>
    </row>
    <row r="73" spans="1:8" x14ac:dyDescent="0.3">
      <c r="A73" s="1">
        <v>45834</v>
      </c>
      <c r="B73" t="s">
        <v>99</v>
      </c>
      <c r="C73" t="s">
        <v>9</v>
      </c>
      <c r="D73" t="s">
        <v>19</v>
      </c>
      <c r="E73" t="s">
        <v>20</v>
      </c>
      <c r="F73">
        <v>6</v>
      </c>
      <c r="G73">
        <v>4476</v>
      </c>
      <c r="H73">
        <v>819.36</v>
      </c>
    </row>
    <row r="74" spans="1:8" x14ac:dyDescent="0.3">
      <c r="A74" s="1">
        <v>45855</v>
      </c>
      <c r="B74" t="s">
        <v>12</v>
      </c>
      <c r="C74" t="s">
        <v>29</v>
      </c>
      <c r="D74" t="s">
        <v>30</v>
      </c>
      <c r="E74" t="s">
        <v>31</v>
      </c>
      <c r="F74">
        <v>10</v>
      </c>
      <c r="G74">
        <v>19780</v>
      </c>
      <c r="H74">
        <v>2438.9299999999998</v>
      </c>
    </row>
    <row r="75" spans="1:8" x14ac:dyDescent="0.3">
      <c r="A75" s="1">
        <v>45924</v>
      </c>
      <c r="B75" t="s">
        <v>79</v>
      </c>
      <c r="C75" t="s">
        <v>18</v>
      </c>
      <c r="D75" t="s">
        <v>30</v>
      </c>
      <c r="E75" t="s">
        <v>31</v>
      </c>
      <c r="F75">
        <v>9</v>
      </c>
      <c r="G75">
        <v>18063</v>
      </c>
      <c r="H75">
        <v>2563.46</v>
      </c>
    </row>
    <row r="76" spans="1:8" x14ac:dyDescent="0.3">
      <c r="A76" s="1">
        <v>45827</v>
      </c>
      <c r="B76" t="s">
        <v>100</v>
      </c>
      <c r="C76" t="s">
        <v>29</v>
      </c>
      <c r="D76" t="s">
        <v>26</v>
      </c>
      <c r="E76" t="s">
        <v>27</v>
      </c>
      <c r="F76">
        <v>6</v>
      </c>
      <c r="G76">
        <v>1494</v>
      </c>
      <c r="H76">
        <v>334.9</v>
      </c>
    </row>
    <row r="77" spans="1:8" x14ac:dyDescent="0.3">
      <c r="A77" s="1">
        <v>45816</v>
      </c>
      <c r="B77" t="s">
        <v>100</v>
      </c>
      <c r="C77" t="s">
        <v>18</v>
      </c>
      <c r="D77" t="s">
        <v>13</v>
      </c>
      <c r="E77" t="s">
        <v>14</v>
      </c>
      <c r="F77">
        <v>7</v>
      </c>
      <c r="G77">
        <v>14252</v>
      </c>
      <c r="H77">
        <v>2115.11</v>
      </c>
    </row>
    <row r="78" spans="1:8" x14ac:dyDescent="0.3">
      <c r="A78" s="1">
        <v>45723</v>
      </c>
      <c r="B78" t="s">
        <v>101</v>
      </c>
      <c r="C78" t="s">
        <v>18</v>
      </c>
      <c r="D78" t="s">
        <v>24</v>
      </c>
      <c r="E78" t="s">
        <v>11</v>
      </c>
      <c r="F78">
        <v>7</v>
      </c>
      <c r="G78">
        <v>13027</v>
      </c>
      <c r="H78">
        <v>3124.68</v>
      </c>
    </row>
    <row r="79" spans="1:8" x14ac:dyDescent="0.3">
      <c r="A79" s="1">
        <v>45949</v>
      </c>
      <c r="B79" t="s">
        <v>102</v>
      </c>
      <c r="C79" t="s">
        <v>35</v>
      </c>
      <c r="D79" t="s">
        <v>22</v>
      </c>
      <c r="E79" t="s">
        <v>11</v>
      </c>
      <c r="F79">
        <v>7</v>
      </c>
      <c r="G79">
        <v>9954</v>
      </c>
      <c r="H79">
        <v>2207.13</v>
      </c>
    </row>
    <row r="80" spans="1:8" x14ac:dyDescent="0.3">
      <c r="A80" s="1">
        <v>45765</v>
      </c>
      <c r="B80" t="s">
        <v>103</v>
      </c>
      <c r="C80" t="s">
        <v>35</v>
      </c>
      <c r="D80" t="s">
        <v>47</v>
      </c>
      <c r="E80" t="s">
        <v>44</v>
      </c>
      <c r="F80">
        <v>10</v>
      </c>
      <c r="G80">
        <v>149390</v>
      </c>
      <c r="H80">
        <v>28578.3</v>
      </c>
    </row>
    <row r="81" spans="1:8" x14ac:dyDescent="0.3">
      <c r="A81" s="1">
        <v>45884</v>
      </c>
      <c r="B81" t="s">
        <v>104</v>
      </c>
      <c r="C81" t="s">
        <v>16</v>
      </c>
      <c r="D81" t="s">
        <v>13</v>
      </c>
      <c r="E81" t="s">
        <v>14</v>
      </c>
      <c r="F81">
        <v>4</v>
      </c>
      <c r="G81">
        <v>11172</v>
      </c>
      <c r="H81">
        <v>1792.45</v>
      </c>
    </row>
    <row r="82" spans="1:8" x14ac:dyDescent="0.3">
      <c r="A82" s="1">
        <v>45701</v>
      </c>
      <c r="B82" t="s">
        <v>105</v>
      </c>
      <c r="C82" t="s">
        <v>29</v>
      </c>
      <c r="D82" t="s">
        <v>22</v>
      </c>
      <c r="E82" t="s">
        <v>11</v>
      </c>
      <c r="F82">
        <v>9</v>
      </c>
      <c r="G82">
        <v>14931</v>
      </c>
      <c r="H82">
        <v>2801.05</v>
      </c>
    </row>
    <row r="83" spans="1:8" x14ac:dyDescent="0.3">
      <c r="A83" s="1">
        <v>45778</v>
      </c>
      <c r="B83" t="s">
        <v>106</v>
      </c>
      <c r="C83" t="s">
        <v>18</v>
      </c>
      <c r="D83" t="s">
        <v>13</v>
      </c>
      <c r="E83" t="s">
        <v>14</v>
      </c>
      <c r="F83">
        <v>5</v>
      </c>
      <c r="G83">
        <v>8100</v>
      </c>
      <c r="H83">
        <v>1758.64</v>
      </c>
    </row>
    <row r="84" spans="1:8" x14ac:dyDescent="0.3">
      <c r="A84" s="1">
        <v>45681</v>
      </c>
      <c r="B84" t="s">
        <v>107</v>
      </c>
      <c r="C84" t="s">
        <v>16</v>
      </c>
      <c r="D84" t="s">
        <v>24</v>
      </c>
      <c r="E84" t="s">
        <v>11</v>
      </c>
      <c r="F84">
        <v>8</v>
      </c>
      <c r="G84">
        <v>14008</v>
      </c>
      <c r="H84">
        <v>3144.17</v>
      </c>
    </row>
    <row r="85" spans="1:8" x14ac:dyDescent="0.3">
      <c r="A85" s="1">
        <v>45870</v>
      </c>
      <c r="B85" t="s">
        <v>108</v>
      </c>
      <c r="C85" t="s">
        <v>9</v>
      </c>
      <c r="D85" t="s">
        <v>30</v>
      </c>
      <c r="E85" t="s">
        <v>31</v>
      </c>
      <c r="F85">
        <v>11</v>
      </c>
      <c r="G85">
        <v>21956</v>
      </c>
      <c r="H85">
        <v>4437.72</v>
      </c>
    </row>
    <row r="86" spans="1:8" x14ac:dyDescent="0.3">
      <c r="A86" s="1">
        <v>45862</v>
      </c>
      <c r="B86" t="s">
        <v>109</v>
      </c>
      <c r="C86" t="s">
        <v>18</v>
      </c>
      <c r="D86" t="s">
        <v>24</v>
      </c>
      <c r="E86" t="s">
        <v>11</v>
      </c>
      <c r="F86">
        <v>3</v>
      </c>
      <c r="G86">
        <v>5529</v>
      </c>
      <c r="H86">
        <v>1088.6400000000001</v>
      </c>
    </row>
    <row r="87" spans="1:8" x14ac:dyDescent="0.3">
      <c r="A87" s="1">
        <v>45875</v>
      </c>
      <c r="B87" t="s">
        <v>110</v>
      </c>
      <c r="C87" t="s">
        <v>9</v>
      </c>
      <c r="D87" t="s">
        <v>24</v>
      </c>
      <c r="E87" t="s">
        <v>11</v>
      </c>
      <c r="F87">
        <v>3</v>
      </c>
      <c r="G87">
        <v>6438</v>
      </c>
      <c r="H87">
        <v>1563.5</v>
      </c>
    </row>
    <row r="88" spans="1:8" x14ac:dyDescent="0.3">
      <c r="A88" s="1">
        <v>45683</v>
      </c>
      <c r="B88" t="s">
        <v>33</v>
      </c>
      <c r="C88" t="s">
        <v>16</v>
      </c>
      <c r="D88" t="s">
        <v>62</v>
      </c>
      <c r="E88" t="s">
        <v>27</v>
      </c>
      <c r="F88">
        <v>4</v>
      </c>
      <c r="G88">
        <v>324</v>
      </c>
      <c r="H88">
        <v>51.06</v>
      </c>
    </row>
    <row r="89" spans="1:8" x14ac:dyDescent="0.3">
      <c r="A89" s="1">
        <v>45929</v>
      </c>
      <c r="B89" t="s">
        <v>111</v>
      </c>
      <c r="C89" t="s">
        <v>35</v>
      </c>
      <c r="D89" t="s">
        <v>62</v>
      </c>
      <c r="E89" t="s">
        <v>27</v>
      </c>
      <c r="F89">
        <v>10</v>
      </c>
      <c r="G89">
        <v>1310</v>
      </c>
      <c r="H89">
        <v>316.37</v>
      </c>
    </row>
    <row r="90" spans="1:8" x14ac:dyDescent="0.3">
      <c r="A90" s="1">
        <v>45916</v>
      </c>
      <c r="B90" t="s">
        <v>112</v>
      </c>
      <c r="C90" t="s">
        <v>16</v>
      </c>
      <c r="D90" t="s">
        <v>47</v>
      </c>
      <c r="E90" t="s">
        <v>44</v>
      </c>
      <c r="F90">
        <v>9</v>
      </c>
      <c r="G90">
        <v>110745</v>
      </c>
      <c r="H90">
        <v>25751.02</v>
      </c>
    </row>
    <row r="91" spans="1:8" x14ac:dyDescent="0.3">
      <c r="A91" s="1">
        <v>45790</v>
      </c>
      <c r="B91" t="s">
        <v>110</v>
      </c>
      <c r="C91" t="s">
        <v>9</v>
      </c>
      <c r="D91" t="s">
        <v>52</v>
      </c>
      <c r="E91" t="s">
        <v>31</v>
      </c>
      <c r="F91">
        <v>4</v>
      </c>
      <c r="G91">
        <v>13884</v>
      </c>
      <c r="H91">
        <v>2918.25</v>
      </c>
    </row>
    <row r="92" spans="1:8" x14ac:dyDescent="0.3">
      <c r="A92" s="1">
        <v>45978</v>
      </c>
      <c r="B92" t="s">
        <v>113</v>
      </c>
      <c r="C92" t="s">
        <v>18</v>
      </c>
      <c r="D92" t="s">
        <v>24</v>
      </c>
      <c r="E92" t="s">
        <v>11</v>
      </c>
      <c r="F92">
        <v>5</v>
      </c>
      <c r="G92">
        <v>7000</v>
      </c>
      <c r="H92">
        <v>652.21</v>
      </c>
    </row>
    <row r="93" spans="1:8" x14ac:dyDescent="0.3">
      <c r="A93" s="1">
        <v>45797</v>
      </c>
      <c r="B93" t="s">
        <v>114</v>
      </c>
      <c r="C93" t="s">
        <v>29</v>
      </c>
      <c r="D93" t="s">
        <v>40</v>
      </c>
      <c r="E93" t="s">
        <v>11</v>
      </c>
      <c r="F93">
        <v>6</v>
      </c>
      <c r="G93">
        <v>63840</v>
      </c>
      <c r="H93">
        <v>6608.95</v>
      </c>
    </row>
    <row r="94" spans="1:8" x14ac:dyDescent="0.3">
      <c r="A94" s="1">
        <v>46013</v>
      </c>
      <c r="B94" t="s">
        <v>115</v>
      </c>
      <c r="C94" t="s">
        <v>16</v>
      </c>
      <c r="D94" t="s">
        <v>36</v>
      </c>
      <c r="E94" t="s">
        <v>11</v>
      </c>
      <c r="F94">
        <v>12</v>
      </c>
      <c r="G94">
        <v>30624</v>
      </c>
      <c r="H94">
        <v>2784.3</v>
      </c>
    </row>
    <row r="95" spans="1:8" x14ac:dyDescent="0.3">
      <c r="A95" s="1">
        <v>45935</v>
      </c>
      <c r="B95" t="s">
        <v>116</v>
      </c>
      <c r="C95" t="s">
        <v>18</v>
      </c>
      <c r="D95" t="s">
        <v>43</v>
      </c>
      <c r="E95" t="s">
        <v>44</v>
      </c>
      <c r="F95">
        <v>7</v>
      </c>
      <c r="G95">
        <v>35140</v>
      </c>
      <c r="H95">
        <v>4046.79</v>
      </c>
    </row>
    <row r="96" spans="1:8" x14ac:dyDescent="0.3">
      <c r="A96" s="1">
        <v>45957</v>
      </c>
      <c r="B96" t="s">
        <v>45</v>
      </c>
      <c r="C96" t="s">
        <v>35</v>
      </c>
      <c r="D96" t="s">
        <v>19</v>
      </c>
      <c r="E96" t="s">
        <v>20</v>
      </c>
      <c r="F96">
        <v>1</v>
      </c>
      <c r="G96">
        <v>1177</v>
      </c>
      <c r="H96">
        <v>270.37</v>
      </c>
    </row>
    <row r="97" spans="1:8" x14ac:dyDescent="0.3">
      <c r="A97" s="1">
        <v>45902</v>
      </c>
      <c r="B97" t="s">
        <v>117</v>
      </c>
      <c r="C97" t="s">
        <v>35</v>
      </c>
      <c r="D97" t="s">
        <v>54</v>
      </c>
      <c r="E97" t="s">
        <v>11</v>
      </c>
      <c r="F97">
        <v>6</v>
      </c>
      <c r="G97">
        <v>328704</v>
      </c>
      <c r="H97">
        <v>68400.27</v>
      </c>
    </row>
    <row r="98" spans="1:8" x14ac:dyDescent="0.3">
      <c r="A98" s="1">
        <v>45937</v>
      </c>
      <c r="B98" t="s">
        <v>82</v>
      </c>
      <c r="C98" t="s">
        <v>35</v>
      </c>
      <c r="D98" t="s">
        <v>52</v>
      </c>
      <c r="E98" t="s">
        <v>31</v>
      </c>
      <c r="F98">
        <v>10</v>
      </c>
      <c r="G98">
        <v>30060</v>
      </c>
      <c r="H98">
        <v>4899.75</v>
      </c>
    </row>
    <row r="99" spans="1:8" x14ac:dyDescent="0.3">
      <c r="A99" s="1">
        <v>45906</v>
      </c>
      <c r="B99" t="s">
        <v>118</v>
      </c>
      <c r="C99" t="s">
        <v>18</v>
      </c>
      <c r="D99" t="s">
        <v>54</v>
      </c>
      <c r="E99" t="s">
        <v>11</v>
      </c>
      <c r="F99">
        <v>7</v>
      </c>
      <c r="G99">
        <v>392098</v>
      </c>
      <c r="H99">
        <v>75952.72</v>
      </c>
    </row>
    <row r="100" spans="1:8" x14ac:dyDescent="0.3">
      <c r="A100" s="1">
        <v>45742</v>
      </c>
      <c r="B100" t="s">
        <v>77</v>
      </c>
      <c r="C100" t="s">
        <v>16</v>
      </c>
      <c r="D100" t="s">
        <v>56</v>
      </c>
      <c r="E100" t="s">
        <v>31</v>
      </c>
      <c r="F100">
        <v>8</v>
      </c>
      <c r="G100">
        <v>6088</v>
      </c>
      <c r="H100">
        <v>1502.05</v>
      </c>
    </row>
    <row r="101" spans="1:8" x14ac:dyDescent="0.3">
      <c r="A101" s="1">
        <v>45859</v>
      </c>
      <c r="B101" t="s">
        <v>51</v>
      </c>
      <c r="C101" t="s">
        <v>18</v>
      </c>
      <c r="D101" t="s">
        <v>26</v>
      </c>
      <c r="E101" t="s">
        <v>27</v>
      </c>
      <c r="F101">
        <v>10</v>
      </c>
      <c r="G101">
        <v>2490</v>
      </c>
      <c r="H101">
        <v>210.67</v>
      </c>
    </row>
    <row r="102" spans="1:8" x14ac:dyDescent="0.3">
      <c r="A102" s="1">
        <v>45894</v>
      </c>
      <c r="B102" t="s">
        <v>119</v>
      </c>
      <c r="C102" t="s">
        <v>18</v>
      </c>
      <c r="D102" t="s">
        <v>36</v>
      </c>
      <c r="E102" t="s">
        <v>11</v>
      </c>
      <c r="F102">
        <v>1</v>
      </c>
      <c r="G102">
        <v>2931</v>
      </c>
      <c r="H102">
        <v>423.38</v>
      </c>
    </row>
    <row r="103" spans="1:8" x14ac:dyDescent="0.3">
      <c r="A103" s="1">
        <v>45825</v>
      </c>
      <c r="B103" t="s">
        <v>120</v>
      </c>
      <c r="C103" t="s">
        <v>29</v>
      </c>
      <c r="D103" t="s">
        <v>40</v>
      </c>
      <c r="E103" t="s">
        <v>11</v>
      </c>
      <c r="F103">
        <v>7</v>
      </c>
      <c r="G103">
        <v>119819</v>
      </c>
      <c r="H103">
        <v>24903.38</v>
      </c>
    </row>
    <row r="104" spans="1:8" x14ac:dyDescent="0.3">
      <c r="A104" s="1">
        <v>45699</v>
      </c>
      <c r="B104" t="s">
        <v>121</v>
      </c>
      <c r="C104" t="s">
        <v>29</v>
      </c>
      <c r="D104" t="s">
        <v>43</v>
      </c>
      <c r="E104" t="s">
        <v>44</v>
      </c>
      <c r="F104">
        <v>1</v>
      </c>
      <c r="G104">
        <v>12837</v>
      </c>
      <c r="H104">
        <v>1140.6300000000001</v>
      </c>
    </row>
    <row r="105" spans="1:8" x14ac:dyDescent="0.3">
      <c r="A105" s="1">
        <v>45990</v>
      </c>
      <c r="B105" t="s">
        <v>64</v>
      </c>
      <c r="C105" t="s">
        <v>16</v>
      </c>
      <c r="D105" t="s">
        <v>10</v>
      </c>
      <c r="E105" t="s">
        <v>11</v>
      </c>
      <c r="F105">
        <v>11</v>
      </c>
      <c r="G105">
        <v>146509</v>
      </c>
      <c r="H105">
        <v>30506.05</v>
      </c>
    </row>
    <row r="106" spans="1:8" x14ac:dyDescent="0.3">
      <c r="A106" s="1">
        <v>45668</v>
      </c>
      <c r="B106" t="s">
        <v>122</v>
      </c>
      <c r="C106" t="s">
        <v>29</v>
      </c>
      <c r="D106" t="s">
        <v>26</v>
      </c>
      <c r="E106" t="s">
        <v>27</v>
      </c>
      <c r="F106">
        <v>3</v>
      </c>
      <c r="G106">
        <v>423</v>
      </c>
      <c r="H106">
        <v>42.92</v>
      </c>
    </row>
    <row r="107" spans="1:8" x14ac:dyDescent="0.3">
      <c r="A107" s="1">
        <v>45769</v>
      </c>
      <c r="B107" t="s">
        <v>101</v>
      </c>
      <c r="C107" t="s">
        <v>35</v>
      </c>
      <c r="D107" t="s">
        <v>43</v>
      </c>
      <c r="E107" t="s">
        <v>44</v>
      </c>
      <c r="F107">
        <v>12</v>
      </c>
      <c r="G107">
        <v>98376</v>
      </c>
      <c r="H107">
        <v>20695.62</v>
      </c>
    </row>
    <row r="108" spans="1:8" x14ac:dyDescent="0.3">
      <c r="A108" s="1">
        <v>45968</v>
      </c>
      <c r="B108" t="s">
        <v>123</v>
      </c>
      <c r="C108" t="s">
        <v>29</v>
      </c>
      <c r="D108" t="s">
        <v>19</v>
      </c>
      <c r="E108" t="s">
        <v>20</v>
      </c>
      <c r="F108">
        <v>12</v>
      </c>
      <c r="G108">
        <v>5004</v>
      </c>
      <c r="H108">
        <v>1061.97</v>
      </c>
    </row>
    <row r="109" spans="1:8" x14ac:dyDescent="0.3">
      <c r="A109" s="1">
        <v>45713</v>
      </c>
      <c r="B109" t="s">
        <v>124</v>
      </c>
      <c r="C109" t="s">
        <v>35</v>
      </c>
      <c r="D109" t="s">
        <v>26</v>
      </c>
      <c r="E109" t="s">
        <v>27</v>
      </c>
      <c r="F109">
        <v>1</v>
      </c>
      <c r="G109">
        <v>159</v>
      </c>
      <c r="H109">
        <v>28.28</v>
      </c>
    </row>
    <row r="110" spans="1:8" x14ac:dyDescent="0.3">
      <c r="A110" s="1">
        <v>45759</v>
      </c>
      <c r="B110" t="s">
        <v>125</v>
      </c>
      <c r="C110" t="s">
        <v>16</v>
      </c>
      <c r="D110" t="s">
        <v>10</v>
      </c>
      <c r="E110" t="s">
        <v>11</v>
      </c>
      <c r="F110">
        <v>10</v>
      </c>
      <c r="G110">
        <v>346300</v>
      </c>
      <c r="H110">
        <v>76600.58</v>
      </c>
    </row>
    <row r="111" spans="1:8" x14ac:dyDescent="0.3">
      <c r="A111" s="1">
        <v>46014</v>
      </c>
      <c r="B111" t="s">
        <v>126</v>
      </c>
      <c r="C111" t="s">
        <v>18</v>
      </c>
      <c r="D111" t="s">
        <v>52</v>
      </c>
      <c r="E111" t="s">
        <v>31</v>
      </c>
      <c r="F111">
        <v>5</v>
      </c>
      <c r="G111">
        <v>10955</v>
      </c>
      <c r="H111">
        <v>2359.25</v>
      </c>
    </row>
    <row r="112" spans="1:8" x14ac:dyDescent="0.3">
      <c r="A112" s="1">
        <v>45679</v>
      </c>
      <c r="B112" t="s">
        <v>127</v>
      </c>
      <c r="C112" t="s">
        <v>18</v>
      </c>
      <c r="D112" t="s">
        <v>40</v>
      </c>
      <c r="E112" t="s">
        <v>11</v>
      </c>
      <c r="F112">
        <v>9</v>
      </c>
      <c r="G112">
        <v>198333</v>
      </c>
      <c r="H112">
        <v>38170.9</v>
      </c>
    </row>
    <row r="113" spans="1:8" x14ac:dyDescent="0.3">
      <c r="A113" s="1">
        <v>45989</v>
      </c>
      <c r="B113" t="s">
        <v>95</v>
      </c>
      <c r="C113" t="s">
        <v>29</v>
      </c>
      <c r="D113" t="s">
        <v>40</v>
      </c>
      <c r="E113" t="s">
        <v>11</v>
      </c>
      <c r="F113">
        <v>1</v>
      </c>
      <c r="G113">
        <v>21764</v>
      </c>
      <c r="H113">
        <v>4783.6499999999996</v>
      </c>
    </row>
    <row r="114" spans="1:8" x14ac:dyDescent="0.3">
      <c r="A114" s="1">
        <v>45843</v>
      </c>
      <c r="B114" t="s">
        <v>128</v>
      </c>
      <c r="C114" t="s">
        <v>35</v>
      </c>
      <c r="D114" t="s">
        <v>13</v>
      </c>
      <c r="E114" t="s">
        <v>14</v>
      </c>
      <c r="F114">
        <v>8</v>
      </c>
      <c r="G114">
        <v>10608</v>
      </c>
      <c r="H114">
        <v>1633.98</v>
      </c>
    </row>
    <row r="115" spans="1:8" x14ac:dyDescent="0.3">
      <c r="A115" s="1">
        <v>45796</v>
      </c>
      <c r="B115" t="s">
        <v>129</v>
      </c>
      <c r="C115" t="s">
        <v>9</v>
      </c>
      <c r="D115" t="s">
        <v>26</v>
      </c>
      <c r="E115" t="s">
        <v>27</v>
      </c>
      <c r="F115">
        <v>9</v>
      </c>
      <c r="G115">
        <v>2502</v>
      </c>
      <c r="H115">
        <v>405.81</v>
      </c>
    </row>
    <row r="116" spans="1:8" x14ac:dyDescent="0.3">
      <c r="A116" s="1">
        <v>45961</v>
      </c>
      <c r="B116" t="s">
        <v>130</v>
      </c>
      <c r="C116" t="s">
        <v>9</v>
      </c>
      <c r="D116" t="s">
        <v>22</v>
      </c>
      <c r="E116" t="s">
        <v>11</v>
      </c>
      <c r="F116">
        <v>6</v>
      </c>
      <c r="G116">
        <v>4812</v>
      </c>
      <c r="H116">
        <v>1064.53</v>
      </c>
    </row>
    <row r="117" spans="1:8" x14ac:dyDescent="0.3">
      <c r="A117" s="1">
        <v>45888</v>
      </c>
      <c r="B117" t="s">
        <v>131</v>
      </c>
      <c r="C117" t="s">
        <v>9</v>
      </c>
      <c r="D117" t="s">
        <v>24</v>
      </c>
      <c r="E117" t="s">
        <v>11</v>
      </c>
      <c r="F117">
        <v>8</v>
      </c>
      <c r="G117">
        <v>13336</v>
      </c>
      <c r="H117">
        <v>2450.58</v>
      </c>
    </row>
    <row r="118" spans="1:8" x14ac:dyDescent="0.3">
      <c r="A118" s="1">
        <v>45672</v>
      </c>
      <c r="B118" t="s">
        <v>132</v>
      </c>
      <c r="C118" t="s">
        <v>18</v>
      </c>
      <c r="D118" t="s">
        <v>43</v>
      </c>
      <c r="E118" t="s">
        <v>44</v>
      </c>
      <c r="F118">
        <v>6</v>
      </c>
      <c r="G118">
        <v>41874</v>
      </c>
      <c r="H118">
        <v>6820.58</v>
      </c>
    </row>
    <row r="119" spans="1:8" x14ac:dyDescent="0.3">
      <c r="A119" s="1">
        <v>45790</v>
      </c>
      <c r="B119" t="s">
        <v>133</v>
      </c>
      <c r="C119" t="s">
        <v>18</v>
      </c>
      <c r="D119" t="s">
        <v>40</v>
      </c>
      <c r="E119" t="s">
        <v>11</v>
      </c>
      <c r="F119">
        <v>5</v>
      </c>
      <c r="G119">
        <v>85260</v>
      </c>
      <c r="H119">
        <v>14876.55</v>
      </c>
    </row>
    <row r="120" spans="1:8" x14ac:dyDescent="0.3">
      <c r="A120" s="1">
        <v>45701</v>
      </c>
      <c r="B120" t="s">
        <v>134</v>
      </c>
      <c r="C120" t="s">
        <v>35</v>
      </c>
      <c r="D120" t="s">
        <v>24</v>
      </c>
      <c r="E120" t="s">
        <v>11</v>
      </c>
      <c r="F120">
        <v>12</v>
      </c>
      <c r="G120">
        <v>15984</v>
      </c>
      <c r="H120">
        <v>2606.3200000000002</v>
      </c>
    </row>
    <row r="121" spans="1:8" x14ac:dyDescent="0.3">
      <c r="A121" s="1">
        <v>45901</v>
      </c>
      <c r="B121" t="s">
        <v>65</v>
      </c>
      <c r="C121" t="s">
        <v>29</v>
      </c>
      <c r="D121" t="s">
        <v>13</v>
      </c>
      <c r="E121" t="s">
        <v>14</v>
      </c>
      <c r="F121">
        <v>12</v>
      </c>
      <c r="G121">
        <v>32520</v>
      </c>
      <c r="H121">
        <v>5079.29</v>
      </c>
    </row>
    <row r="122" spans="1:8" x14ac:dyDescent="0.3">
      <c r="A122" s="1">
        <v>45808</v>
      </c>
      <c r="B122" t="s">
        <v>135</v>
      </c>
      <c r="C122" t="s">
        <v>9</v>
      </c>
      <c r="D122" t="s">
        <v>24</v>
      </c>
      <c r="E122" t="s">
        <v>11</v>
      </c>
      <c r="F122">
        <v>7</v>
      </c>
      <c r="G122">
        <v>13412</v>
      </c>
      <c r="H122">
        <v>1627.71</v>
      </c>
    </row>
    <row r="123" spans="1:8" x14ac:dyDescent="0.3">
      <c r="A123" s="1">
        <v>45900</v>
      </c>
      <c r="B123" t="s">
        <v>136</v>
      </c>
      <c r="C123" t="s">
        <v>35</v>
      </c>
      <c r="D123" t="s">
        <v>62</v>
      </c>
      <c r="E123" t="s">
        <v>27</v>
      </c>
      <c r="F123">
        <v>9</v>
      </c>
      <c r="G123">
        <v>1242</v>
      </c>
      <c r="H123">
        <v>189.2</v>
      </c>
    </row>
    <row r="124" spans="1:8" x14ac:dyDescent="0.3">
      <c r="A124" s="1">
        <v>45838</v>
      </c>
      <c r="B124" t="s">
        <v>125</v>
      </c>
      <c r="C124" t="s">
        <v>35</v>
      </c>
      <c r="D124" t="s">
        <v>19</v>
      </c>
      <c r="E124" t="s">
        <v>20</v>
      </c>
      <c r="F124">
        <v>8</v>
      </c>
      <c r="G124">
        <v>4616</v>
      </c>
      <c r="H124">
        <v>609.89</v>
      </c>
    </row>
    <row r="125" spans="1:8" x14ac:dyDescent="0.3">
      <c r="A125" s="1">
        <v>45756</v>
      </c>
      <c r="B125" t="s">
        <v>137</v>
      </c>
      <c r="C125" t="s">
        <v>29</v>
      </c>
      <c r="D125" t="s">
        <v>40</v>
      </c>
      <c r="E125" t="s">
        <v>11</v>
      </c>
      <c r="F125">
        <v>2</v>
      </c>
      <c r="G125">
        <v>28132</v>
      </c>
      <c r="H125">
        <v>3166.59</v>
      </c>
    </row>
    <row r="126" spans="1:8" x14ac:dyDescent="0.3">
      <c r="A126" s="1">
        <v>45959</v>
      </c>
      <c r="B126" t="s">
        <v>138</v>
      </c>
      <c r="C126" t="s">
        <v>35</v>
      </c>
      <c r="D126" t="s">
        <v>52</v>
      </c>
      <c r="E126" t="s">
        <v>31</v>
      </c>
      <c r="F126">
        <v>9</v>
      </c>
      <c r="G126">
        <v>31662</v>
      </c>
      <c r="H126">
        <v>7810.6</v>
      </c>
    </row>
    <row r="127" spans="1:8" x14ac:dyDescent="0.3">
      <c r="A127" s="1">
        <v>45774</v>
      </c>
      <c r="B127" t="s">
        <v>139</v>
      </c>
      <c r="C127" t="s">
        <v>29</v>
      </c>
      <c r="D127" t="s">
        <v>40</v>
      </c>
      <c r="E127" t="s">
        <v>11</v>
      </c>
      <c r="F127">
        <v>3</v>
      </c>
      <c r="G127">
        <v>53712</v>
      </c>
      <c r="H127">
        <v>4426.1499999999996</v>
      </c>
    </row>
    <row r="128" spans="1:8" x14ac:dyDescent="0.3">
      <c r="A128" s="1">
        <v>45798</v>
      </c>
      <c r="B128" t="s">
        <v>60</v>
      </c>
      <c r="C128" t="s">
        <v>16</v>
      </c>
      <c r="D128" t="s">
        <v>54</v>
      </c>
      <c r="E128" t="s">
        <v>11</v>
      </c>
      <c r="F128">
        <v>1</v>
      </c>
      <c r="G128">
        <v>63132</v>
      </c>
      <c r="H128">
        <v>8185.9</v>
      </c>
    </row>
    <row r="129" spans="1:8" x14ac:dyDescent="0.3">
      <c r="A129" s="1">
        <v>45909</v>
      </c>
      <c r="B129" t="s">
        <v>112</v>
      </c>
      <c r="C129" t="s">
        <v>29</v>
      </c>
      <c r="D129" t="s">
        <v>10</v>
      </c>
      <c r="E129" t="s">
        <v>11</v>
      </c>
      <c r="F129">
        <v>1</v>
      </c>
      <c r="G129">
        <v>30810</v>
      </c>
      <c r="H129">
        <v>3954.08</v>
      </c>
    </row>
    <row r="130" spans="1:8" x14ac:dyDescent="0.3">
      <c r="A130" s="1">
        <v>45832</v>
      </c>
      <c r="B130" t="s">
        <v>140</v>
      </c>
      <c r="C130" t="s">
        <v>9</v>
      </c>
      <c r="D130" t="s">
        <v>36</v>
      </c>
      <c r="E130" t="s">
        <v>11</v>
      </c>
      <c r="F130">
        <v>1</v>
      </c>
      <c r="G130">
        <v>2868</v>
      </c>
      <c r="H130">
        <v>688.26</v>
      </c>
    </row>
    <row r="131" spans="1:8" x14ac:dyDescent="0.3">
      <c r="A131" s="1">
        <v>45691</v>
      </c>
      <c r="B131" t="s">
        <v>74</v>
      </c>
      <c r="C131" t="s">
        <v>9</v>
      </c>
      <c r="D131" t="s">
        <v>47</v>
      </c>
      <c r="E131" t="s">
        <v>44</v>
      </c>
      <c r="F131">
        <v>8</v>
      </c>
      <c r="G131">
        <v>49704</v>
      </c>
      <c r="H131">
        <v>8851.9599999999991</v>
      </c>
    </row>
    <row r="132" spans="1:8" x14ac:dyDescent="0.3">
      <c r="A132" s="1">
        <v>45734</v>
      </c>
      <c r="B132" t="s">
        <v>125</v>
      </c>
      <c r="C132" t="s">
        <v>29</v>
      </c>
      <c r="D132" t="s">
        <v>52</v>
      </c>
      <c r="E132" t="s">
        <v>31</v>
      </c>
      <c r="F132">
        <v>10</v>
      </c>
      <c r="G132">
        <v>36890</v>
      </c>
      <c r="H132">
        <v>3485.4</v>
      </c>
    </row>
    <row r="133" spans="1:8" x14ac:dyDescent="0.3">
      <c r="A133" s="1">
        <v>45943</v>
      </c>
      <c r="B133" t="s">
        <v>108</v>
      </c>
      <c r="C133" t="s">
        <v>16</v>
      </c>
      <c r="D133" t="s">
        <v>52</v>
      </c>
      <c r="E133" t="s">
        <v>31</v>
      </c>
      <c r="F133">
        <v>7</v>
      </c>
      <c r="G133">
        <v>21336</v>
      </c>
      <c r="H133">
        <v>4520.41</v>
      </c>
    </row>
    <row r="134" spans="1:8" x14ac:dyDescent="0.3">
      <c r="A134" s="1">
        <v>45884</v>
      </c>
      <c r="B134" t="s">
        <v>80</v>
      </c>
      <c r="C134" t="s">
        <v>16</v>
      </c>
      <c r="D134" t="s">
        <v>22</v>
      </c>
      <c r="E134" t="s">
        <v>11</v>
      </c>
      <c r="F134">
        <v>10</v>
      </c>
      <c r="G134">
        <v>11780</v>
      </c>
      <c r="H134">
        <v>1553.95</v>
      </c>
    </row>
    <row r="135" spans="1:8" x14ac:dyDescent="0.3">
      <c r="A135" s="1">
        <v>45970</v>
      </c>
      <c r="B135" t="s">
        <v>138</v>
      </c>
      <c r="C135" t="s">
        <v>9</v>
      </c>
      <c r="D135" t="s">
        <v>19</v>
      </c>
      <c r="E135" t="s">
        <v>20</v>
      </c>
      <c r="F135">
        <v>2</v>
      </c>
      <c r="G135">
        <v>2162</v>
      </c>
      <c r="H135">
        <v>249.33</v>
      </c>
    </row>
    <row r="136" spans="1:8" x14ac:dyDescent="0.3">
      <c r="A136" s="1">
        <v>45996</v>
      </c>
      <c r="B136" t="s">
        <v>141</v>
      </c>
      <c r="C136" t="s">
        <v>16</v>
      </c>
      <c r="D136" t="s">
        <v>10</v>
      </c>
      <c r="E136" t="s">
        <v>11</v>
      </c>
      <c r="F136">
        <v>3</v>
      </c>
      <c r="G136">
        <v>59577</v>
      </c>
      <c r="H136">
        <v>6526.56</v>
      </c>
    </row>
    <row r="137" spans="1:8" x14ac:dyDescent="0.3">
      <c r="A137" s="1">
        <v>45659</v>
      </c>
      <c r="B137" t="s">
        <v>142</v>
      </c>
      <c r="C137" t="s">
        <v>35</v>
      </c>
      <c r="D137" t="s">
        <v>47</v>
      </c>
      <c r="E137" t="s">
        <v>44</v>
      </c>
      <c r="F137">
        <v>8</v>
      </c>
      <c r="G137">
        <v>130352</v>
      </c>
      <c r="H137">
        <v>23586.92</v>
      </c>
    </row>
    <row r="138" spans="1:8" x14ac:dyDescent="0.3">
      <c r="A138" s="1">
        <v>45776</v>
      </c>
      <c r="B138" t="s">
        <v>143</v>
      </c>
      <c r="C138" t="s">
        <v>18</v>
      </c>
      <c r="D138" t="s">
        <v>22</v>
      </c>
      <c r="E138" t="s">
        <v>11</v>
      </c>
      <c r="F138">
        <v>12</v>
      </c>
      <c r="G138">
        <v>10548</v>
      </c>
      <c r="H138">
        <v>2104.41</v>
      </c>
    </row>
    <row r="139" spans="1:8" x14ac:dyDescent="0.3">
      <c r="A139" s="1">
        <v>46009</v>
      </c>
      <c r="B139" t="s">
        <v>144</v>
      </c>
      <c r="C139" t="s">
        <v>35</v>
      </c>
      <c r="D139" t="s">
        <v>24</v>
      </c>
      <c r="E139" t="s">
        <v>11</v>
      </c>
      <c r="F139">
        <v>5</v>
      </c>
      <c r="G139">
        <v>10565</v>
      </c>
      <c r="H139">
        <v>2266.3200000000002</v>
      </c>
    </row>
    <row r="140" spans="1:8" x14ac:dyDescent="0.3">
      <c r="A140" s="1">
        <v>45759</v>
      </c>
      <c r="B140" t="s">
        <v>145</v>
      </c>
      <c r="C140" t="s">
        <v>9</v>
      </c>
      <c r="D140" t="s">
        <v>47</v>
      </c>
      <c r="E140" t="s">
        <v>44</v>
      </c>
      <c r="F140">
        <v>2</v>
      </c>
      <c r="G140">
        <v>27844</v>
      </c>
      <c r="H140">
        <v>3291.65</v>
      </c>
    </row>
    <row r="141" spans="1:8" x14ac:dyDescent="0.3">
      <c r="A141" s="1">
        <v>45794</v>
      </c>
      <c r="B141" t="s">
        <v>146</v>
      </c>
      <c r="C141" t="s">
        <v>16</v>
      </c>
      <c r="D141" t="s">
        <v>56</v>
      </c>
      <c r="E141" t="s">
        <v>31</v>
      </c>
      <c r="F141">
        <v>3</v>
      </c>
      <c r="G141">
        <v>1938</v>
      </c>
      <c r="H141">
        <v>174.69</v>
      </c>
    </row>
    <row r="142" spans="1:8" x14ac:dyDescent="0.3">
      <c r="A142" s="1">
        <v>45949</v>
      </c>
      <c r="B142" t="s">
        <v>147</v>
      </c>
      <c r="C142" t="s">
        <v>29</v>
      </c>
      <c r="D142" t="s">
        <v>30</v>
      </c>
      <c r="E142" t="s">
        <v>31</v>
      </c>
      <c r="F142">
        <v>5</v>
      </c>
      <c r="G142">
        <v>14990</v>
      </c>
      <c r="H142">
        <v>1516.09</v>
      </c>
    </row>
    <row r="143" spans="1:8" x14ac:dyDescent="0.3">
      <c r="A143" s="1">
        <v>45864</v>
      </c>
      <c r="B143" t="s">
        <v>148</v>
      </c>
      <c r="C143" t="s">
        <v>18</v>
      </c>
      <c r="D143" t="s">
        <v>22</v>
      </c>
      <c r="E143" t="s">
        <v>11</v>
      </c>
      <c r="F143">
        <v>9</v>
      </c>
      <c r="G143">
        <v>12645</v>
      </c>
      <c r="H143">
        <v>2073.09</v>
      </c>
    </row>
    <row r="144" spans="1:8" x14ac:dyDescent="0.3">
      <c r="A144" s="1">
        <v>45678</v>
      </c>
      <c r="B144" t="s">
        <v>65</v>
      </c>
      <c r="C144" t="s">
        <v>29</v>
      </c>
      <c r="D144" t="s">
        <v>30</v>
      </c>
      <c r="E144" t="s">
        <v>31</v>
      </c>
      <c r="F144">
        <v>7</v>
      </c>
      <c r="G144">
        <v>17640</v>
      </c>
      <c r="H144">
        <v>3221.62</v>
      </c>
    </row>
    <row r="145" spans="1:8" x14ac:dyDescent="0.3">
      <c r="A145" s="1">
        <v>45775</v>
      </c>
      <c r="B145" t="s">
        <v>149</v>
      </c>
      <c r="C145" t="s">
        <v>9</v>
      </c>
      <c r="D145" t="s">
        <v>13</v>
      </c>
      <c r="E145" t="s">
        <v>14</v>
      </c>
      <c r="F145">
        <v>10</v>
      </c>
      <c r="G145">
        <v>31040</v>
      </c>
      <c r="H145">
        <v>7500.31</v>
      </c>
    </row>
    <row r="146" spans="1:8" x14ac:dyDescent="0.3">
      <c r="A146" s="1">
        <v>45678</v>
      </c>
      <c r="B146" t="s">
        <v>150</v>
      </c>
      <c r="C146" t="s">
        <v>16</v>
      </c>
      <c r="D146" t="s">
        <v>52</v>
      </c>
      <c r="E146" t="s">
        <v>31</v>
      </c>
      <c r="F146">
        <v>3</v>
      </c>
      <c r="G146">
        <v>15162</v>
      </c>
      <c r="H146">
        <v>2550.61</v>
      </c>
    </row>
    <row r="147" spans="1:8" x14ac:dyDescent="0.3">
      <c r="A147" s="1">
        <v>45800</v>
      </c>
      <c r="B147" t="s">
        <v>140</v>
      </c>
      <c r="C147" t="s">
        <v>29</v>
      </c>
      <c r="D147" t="s">
        <v>36</v>
      </c>
      <c r="E147" t="s">
        <v>11</v>
      </c>
      <c r="F147">
        <v>10</v>
      </c>
      <c r="G147">
        <v>43700</v>
      </c>
      <c r="H147">
        <v>8211.82</v>
      </c>
    </row>
    <row r="148" spans="1:8" x14ac:dyDescent="0.3">
      <c r="A148" s="1">
        <v>45898</v>
      </c>
      <c r="B148" t="s">
        <v>151</v>
      </c>
      <c r="C148" t="s">
        <v>29</v>
      </c>
      <c r="D148" t="s">
        <v>40</v>
      </c>
      <c r="E148" t="s">
        <v>11</v>
      </c>
      <c r="F148">
        <v>7</v>
      </c>
      <c r="G148">
        <v>132447</v>
      </c>
      <c r="H148">
        <v>17824.7</v>
      </c>
    </row>
    <row r="149" spans="1:8" x14ac:dyDescent="0.3">
      <c r="A149" s="1">
        <v>45740</v>
      </c>
      <c r="B149" t="s">
        <v>152</v>
      </c>
      <c r="C149" t="s">
        <v>18</v>
      </c>
      <c r="D149" t="s">
        <v>40</v>
      </c>
      <c r="E149" t="s">
        <v>11</v>
      </c>
      <c r="F149">
        <v>7</v>
      </c>
      <c r="G149">
        <v>169645</v>
      </c>
      <c r="H149">
        <v>21883.7</v>
      </c>
    </row>
    <row r="150" spans="1:8" x14ac:dyDescent="0.3">
      <c r="A150" s="1">
        <v>45939</v>
      </c>
      <c r="B150" t="s">
        <v>105</v>
      </c>
      <c r="C150" t="s">
        <v>18</v>
      </c>
      <c r="D150" t="s">
        <v>54</v>
      </c>
      <c r="E150" t="s">
        <v>11</v>
      </c>
      <c r="F150">
        <v>8</v>
      </c>
      <c r="G150">
        <v>383080</v>
      </c>
      <c r="H150">
        <v>51128.89</v>
      </c>
    </row>
    <row r="151" spans="1:8" x14ac:dyDescent="0.3">
      <c r="A151" s="1">
        <v>45864</v>
      </c>
      <c r="B151" t="s">
        <v>153</v>
      </c>
      <c r="C151" t="s">
        <v>16</v>
      </c>
      <c r="D151" t="s">
        <v>56</v>
      </c>
      <c r="E151" t="s">
        <v>31</v>
      </c>
      <c r="F151">
        <v>9</v>
      </c>
      <c r="G151">
        <v>4518</v>
      </c>
      <c r="H151">
        <v>866.56</v>
      </c>
    </row>
    <row r="152" spans="1:8" x14ac:dyDescent="0.3">
      <c r="A152" s="1">
        <v>45869</v>
      </c>
      <c r="B152" t="s">
        <v>154</v>
      </c>
      <c r="C152" t="s">
        <v>18</v>
      </c>
      <c r="D152" t="s">
        <v>54</v>
      </c>
      <c r="E152" t="s">
        <v>11</v>
      </c>
      <c r="F152">
        <v>4</v>
      </c>
      <c r="G152">
        <v>247952</v>
      </c>
      <c r="H152">
        <v>35085.83</v>
      </c>
    </row>
    <row r="153" spans="1:8" x14ac:dyDescent="0.3">
      <c r="A153" s="1">
        <v>45884</v>
      </c>
      <c r="B153" t="s">
        <v>145</v>
      </c>
      <c r="C153" t="s">
        <v>29</v>
      </c>
      <c r="D153" t="s">
        <v>52</v>
      </c>
      <c r="E153" t="s">
        <v>31</v>
      </c>
      <c r="F153">
        <v>1</v>
      </c>
      <c r="G153">
        <v>2867</v>
      </c>
      <c r="H153">
        <v>359.52</v>
      </c>
    </row>
    <row r="154" spans="1:8" x14ac:dyDescent="0.3">
      <c r="A154" s="1">
        <v>45805</v>
      </c>
      <c r="B154" t="s">
        <v>155</v>
      </c>
      <c r="C154" t="s">
        <v>29</v>
      </c>
      <c r="D154" t="s">
        <v>43</v>
      </c>
      <c r="E154" t="s">
        <v>44</v>
      </c>
      <c r="F154">
        <v>12</v>
      </c>
      <c r="G154">
        <v>143292</v>
      </c>
      <c r="H154">
        <v>14421.26</v>
      </c>
    </row>
    <row r="155" spans="1:8" x14ac:dyDescent="0.3">
      <c r="A155" s="1">
        <v>45780</v>
      </c>
      <c r="B155" t="s">
        <v>156</v>
      </c>
      <c r="C155" t="s">
        <v>9</v>
      </c>
      <c r="D155" t="s">
        <v>19</v>
      </c>
      <c r="E155" t="s">
        <v>20</v>
      </c>
      <c r="F155">
        <v>3</v>
      </c>
      <c r="G155">
        <v>1854</v>
      </c>
      <c r="H155">
        <v>321.93</v>
      </c>
    </row>
    <row r="156" spans="1:8" x14ac:dyDescent="0.3">
      <c r="A156" s="1">
        <v>45705</v>
      </c>
      <c r="B156" t="s">
        <v>157</v>
      </c>
      <c r="C156" t="s">
        <v>29</v>
      </c>
      <c r="D156" t="s">
        <v>24</v>
      </c>
      <c r="E156" t="s">
        <v>11</v>
      </c>
      <c r="F156">
        <v>2</v>
      </c>
      <c r="G156">
        <v>2890</v>
      </c>
      <c r="H156">
        <v>696.49</v>
      </c>
    </row>
    <row r="157" spans="1:8" x14ac:dyDescent="0.3">
      <c r="A157" s="1">
        <v>45807</v>
      </c>
      <c r="B157" t="s">
        <v>112</v>
      </c>
      <c r="C157" t="s">
        <v>16</v>
      </c>
      <c r="D157" t="s">
        <v>62</v>
      </c>
      <c r="E157" t="s">
        <v>27</v>
      </c>
      <c r="F157">
        <v>12</v>
      </c>
      <c r="G157">
        <v>1428</v>
      </c>
      <c r="H157">
        <v>215.1</v>
      </c>
    </row>
    <row r="158" spans="1:8" x14ac:dyDescent="0.3">
      <c r="A158" s="1">
        <v>45782</v>
      </c>
      <c r="B158" t="s">
        <v>158</v>
      </c>
      <c r="C158" t="s">
        <v>35</v>
      </c>
      <c r="D158" t="s">
        <v>43</v>
      </c>
      <c r="E158" t="s">
        <v>44</v>
      </c>
      <c r="F158">
        <v>9</v>
      </c>
      <c r="G158">
        <v>57321</v>
      </c>
      <c r="H158">
        <v>8323.56</v>
      </c>
    </row>
    <row r="159" spans="1:8" x14ac:dyDescent="0.3">
      <c r="A159" s="1">
        <v>45727</v>
      </c>
      <c r="B159" t="s">
        <v>115</v>
      </c>
      <c r="C159" t="s">
        <v>9</v>
      </c>
      <c r="D159" t="s">
        <v>56</v>
      </c>
      <c r="E159" t="s">
        <v>31</v>
      </c>
      <c r="F159">
        <v>2</v>
      </c>
      <c r="G159">
        <v>2130</v>
      </c>
      <c r="H159">
        <v>450.19</v>
      </c>
    </row>
    <row r="160" spans="1:8" x14ac:dyDescent="0.3">
      <c r="A160" s="1">
        <v>45917</v>
      </c>
      <c r="B160" t="s">
        <v>159</v>
      </c>
      <c r="C160" t="s">
        <v>9</v>
      </c>
      <c r="D160" t="s">
        <v>22</v>
      </c>
      <c r="E160" t="s">
        <v>11</v>
      </c>
      <c r="F160">
        <v>1</v>
      </c>
      <c r="G160">
        <v>879</v>
      </c>
      <c r="H160">
        <v>178.81</v>
      </c>
    </row>
    <row r="161" spans="1:8" x14ac:dyDescent="0.3">
      <c r="A161" s="1">
        <v>45995</v>
      </c>
      <c r="B161" t="s">
        <v>160</v>
      </c>
      <c r="C161" t="s">
        <v>16</v>
      </c>
      <c r="D161" t="s">
        <v>43</v>
      </c>
      <c r="E161" t="s">
        <v>44</v>
      </c>
      <c r="F161">
        <v>3</v>
      </c>
      <c r="G161">
        <v>33948</v>
      </c>
      <c r="H161">
        <v>5824.07</v>
      </c>
    </row>
    <row r="162" spans="1:8" x14ac:dyDescent="0.3">
      <c r="A162" s="1">
        <v>45940</v>
      </c>
      <c r="B162" t="s">
        <v>161</v>
      </c>
      <c r="C162" t="s">
        <v>16</v>
      </c>
      <c r="D162" t="s">
        <v>52</v>
      </c>
      <c r="E162" t="s">
        <v>31</v>
      </c>
      <c r="F162">
        <v>9</v>
      </c>
      <c r="G162">
        <v>38610</v>
      </c>
      <c r="H162">
        <v>6077.55</v>
      </c>
    </row>
    <row r="163" spans="1:8" x14ac:dyDescent="0.3">
      <c r="A163" s="1">
        <v>45754</v>
      </c>
      <c r="B163" t="s">
        <v>12</v>
      </c>
      <c r="C163" t="s">
        <v>18</v>
      </c>
      <c r="D163" t="s">
        <v>19</v>
      </c>
      <c r="E163" t="s">
        <v>20</v>
      </c>
      <c r="F163">
        <v>4</v>
      </c>
      <c r="G163">
        <v>3540</v>
      </c>
      <c r="H163">
        <v>513.66999999999996</v>
      </c>
    </row>
    <row r="164" spans="1:8" x14ac:dyDescent="0.3">
      <c r="A164" s="1">
        <v>45820</v>
      </c>
      <c r="B164" t="s">
        <v>124</v>
      </c>
      <c r="C164" t="s">
        <v>9</v>
      </c>
      <c r="D164" t="s">
        <v>19</v>
      </c>
      <c r="E164" t="s">
        <v>20</v>
      </c>
      <c r="F164">
        <v>8</v>
      </c>
      <c r="G164">
        <v>8176</v>
      </c>
      <c r="H164">
        <v>1923.67</v>
      </c>
    </row>
    <row r="165" spans="1:8" x14ac:dyDescent="0.3">
      <c r="A165" s="1">
        <v>45997</v>
      </c>
      <c r="B165" t="s">
        <v>74</v>
      </c>
      <c r="C165" t="s">
        <v>18</v>
      </c>
      <c r="D165" t="s">
        <v>52</v>
      </c>
      <c r="E165" t="s">
        <v>31</v>
      </c>
      <c r="F165">
        <v>11</v>
      </c>
      <c r="G165">
        <v>26906</v>
      </c>
      <c r="H165">
        <v>4418.12</v>
      </c>
    </row>
    <row r="166" spans="1:8" x14ac:dyDescent="0.3">
      <c r="A166" s="1">
        <v>45915</v>
      </c>
      <c r="B166" t="s">
        <v>143</v>
      </c>
      <c r="C166" t="s">
        <v>29</v>
      </c>
      <c r="D166" t="s">
        <v>26</v>
      </c>
      <c r="E166" t="s">
        <v>27</v>
      </c>
      <c r="F166">
        <v>6</v>
      </c>
      <c r="G166">
        <v>630</v>
      </c>
      <c r="H166">
        <v>144.03</v>
      </c>
    </row>
    <row r="167" spans="1:8" x14ac:dyDescent="0.3">
      <c r="A167" s="1">
        <v>45927</v>
      </c>
      <c r="B167" t="s">
        <v>129</v>
      </c>
      <c r="C167" t="s">
        <v>9</v>
      </c>
      <c r="D167" t="s">
        <v>30</v>
      </c>
      <c r="E167" t="s">
        <v>31</v>
      </c>
      <c r="F167">
        <v>8</v>
      </c>
      <c r="G167">
        <v>10096</v>
      </c>
      <c r="H167">
        <v>2047.62</v>
      </c>
    </row>
    <row r="168" spans="1:8" x14ac:dyDescent="0.3">
      <c r="A168" s="1">
        <v>45993</v>
      </c>
      <c r="B168" t="s">
        <v>162</v>
      </c>
      <c r="C168" t="s">
        <v>9</v>
      </c>
      <c r="D168" t="s">
        <v>36</v>
      </c>
      <c r="E168" t="s">
        <v>11</v>
      </c>
      <c r="F168">
        <v>2</v>
      </c>
      <c r="G168">
        <v>9292</v>
      </c>
      <c r="H168">
        <v>1977.89</v>
      </c>
    </row>
    <row r="169" spans="1:8" x14ac:dyDescent="0.3">
      <c r="A169" s="1">
        <v>45977</v>
      </c>
      <c r="B169" t="s">
        <v>161</v>
      </c>
      <c r="C169" t="s">
        <v>35</v>
      </c>
      <c r="D169" t="s">
        <v>19</v>
      </c>
      <c r="E169" t="s">
        <v>20</v>
      </c>
      <c r="F169">
        <v>7</v>
      </c>
      <c r="G169">
        <v>6755</v>
      </c>
      <c r="H169">
        <v>632.63</v>
      </c>
    </row>
    <row r="170" spans="1:8" x14ac:dyDescent="0.3">
      <c r="A170" s="1">
        <v>46003</v>
      </c>
      <c r="B170" t="s">
        <v>163</v>
      </c>
      <c r="C170" t="s">
        <v>9</v>
      </c>
      <c r="D170" t="s">
        <v>56</v>
      </c>
      <c r="E170" t="s">
        <v>31</v>
      </c>
      <c r="F170">
        <v>9</v>
      </c>
      <c r="G170">
        <v>11502</v>
      </c>
      <c r="H170">
        <v>2785.83</v>
      </c>
    </row>
    <row r="171" spans="1:8" x14ac:dyDescent="0.3">
      <c r="A171" s="1">
        <v>45935</v>
      </c>
      <c r="B171" t="s">
        <v>113</v>
      </c>
      <c r="C171" t="s">
        <v>29</v>
      </c>
      <c r="D171" t="s">
        <v>54</v>
      </c>
      <c r="E171" t="s">
        <v>11</v>
      </c>
      <c r="F171">
        <v>10</v>
      </c>
      <c r="G171">
        <v>472420</v>
      </c>
      <c r="H171">
        <v>56648.33</v>
      </c>
    </row>
    <row r="172" spans="1:8" x14ac:dyDescent="0.3">
      <c r="A172" s="1">
        <v>45704</v>
      </c>
      <c r="B172" t="s">
        <v>164</v>
      </c>
      <c r="C172" t="s">
        <v>18</v>
      </c>
      <c r="D172" t="s">
        <v>47</v>
      </c>
      <c r="E172" t="s">
        <v>44</v>
      </c>
      <c r="F172">
        <v>2</v>
      </c>
      <c r="G172">
        <v>34914</v>
      </c>
      <c r="H172">
        <v>6554.65</v>
      </c>
    </row>
    <row r="173" spans="1:8" x14ac:dyDescent="0.3">
      <c r="A173" s="1">
        <v>45743</v>
      </c>
      <c r="B173" t="s">
        <v>165</v>
      </c>
      <c r="C173" t="s">
        <v>18</v>
      </c>
      <c r="D173" t="s">
        <v>19</v>
      </c>
      <c r="E173" t="s">
        <v>20</v>
      </c>
      <c r="F173">
        <v>5</v>
      </c>
      <c r="G173">
        <v>1645</v>
      </c>
      <c r="H173">
        <v>144.46</v>
      </c>
    </row>
    <row r="174" spans="1:8" x14ac:dyDescent="0.3">
      <c r="A174" s="1">
        <v>45841</v>
      </c>
      <c r="B174" t="s">
        <v>92</v>
      </c>
      <c r="C174" t="s">
        <v>35</v>
      </c>
      <c r="D174" t="s">
        <v>40</v>
      </c>
      <c r="E174" t="s">
        <v>11</v>
      </c>
      <c r="F174">
        <v>7</v>
      </c>
      <c r="G174">
        <v>89390</v>
      </c>
      <c r="H174">
        <v>10862.1</v>
      </c>
    </row>
    <row r="175" spans="1:8" x14ac:dyDescent="0.3">
      <c r="A175" s="1">
        <v>46007</v>
      </c>
      <c r="B175" t="s">
        <v>166</v>
      </c>
      <c r="C175" t="s">
        <v>29</v>
      </c>
      <c r="D175" t="s">
        <v>52</v>
      </c>
      <c r="E175" t="s">
        <v>31</v>
      </c>
      <c r="F175">
        <v>3</v>
      </c>
      <c r="G175">
        <v>7776</v>
      </c>
      <c r="H175">
        <v>853.51</v>
      </c>
    </row>
    <row r="176" spans="1:8" x14ac:dyDescent="0.3">
      <c r="A176" s="1">
        <v>45853</v>
      </c>
      <c r="B176" t="s">
        <v>167</v>
      </c>
      <c r="C176" t="s">
        <v>18</v>
      </c>
      <c r="D176" t="s">
        <v>26</v>
      </c>
      <c r="E176" t="s">
        <v>27</v>
      </c>
      <c r="F176">
        <v>11</v>
      </c>
      <c r="G176">
        <v>1551</v>
      </c>
      <c r="H176">
        <v>255.3</v>
      </c>
    </row>
    <row r="177" spans="1:8" x14ac:dyDescent="0.3">
      <c r="A177" s="1">
        <v>45776</v>
      </c>
      <c r="B177" t="s">
        <v>168</v>
      </c>
      <c r="C177" t="s">
        <v>16</v>
      </c>
      <c r="D177" t="s">
        <v>43</v>
      </c>
      <c r="E177" t="s">
        <v>44</v>
      </c>
      <c r="F177">
        <v>11</v>
      </c>
      <c r="G177">
        <v>89771</v>
      </c>
      <c r="H177">
        <v>14195.22</v>
      </c>
    </row>
    <row r="178" spans="1:8" x14ac:dyDescent="0.3">
      <c r="A178" s="1">
        <v>45896</v>
      </c>
      <c r="B178" t="s">
        <v>96</v>
      </c>
      <c r="C178" t="s">
        <v>29</v>
      </c>
      <c r="D178" t="s">
        <v>30</v>
      </c>
      <c r="E178" t="s">
        <v>31</v>
      </c>
      <c r="F178">
        <v>5</v>
      </c>
      <c r="G178">
        <v>17190</v>
      </c>
      <c r="H178">
        <v>1836.85</v>
      </c>
    </row>
    <row r="179" spans="1:8" x14ac:dyDescent="0.3">
      <c r="A179" s="1">
        <v>45958</v>
      </c>
      <c r="B179" t="s">
        <v>169</v>
      </c>
      <c r="C179" t="s">
        <v>29</v>
      </c>
      <c r="D179" t="s">
        <v>22</v>
      </c>
      <c r="E179" t="s">
        <v>11</v>
      </c>
      <c r="F179">
        <v>11</v>
      </c>
      <c r="G179">
        <v>12848</v>
      </c>
      <c r="H179">
        <v>2535.6</v>
      </c>
    </row>
    <row r="180" spans="1:8" x14ac:dyDescent="0.3">
      <c r="A180" s="1">
        <v>45812</v>
      </c>
      <c r="B180" t="s">
        <v>114</v>
      </c>
      <c r="C180" t="s">
        <v>35</v>
      </c>
      <c r="D180" t="s">
        <v>24</v>
      </c>
      <c r="E180" t="s">
        <v>11</v>
      </c>
      <c r="F180">
        <v>7</v>
      </c>
      <c r="G180">
        <v>15729</v>
      </c>
      <c r="H180">
        <v>2550.38</v>
      </c>
    </row>
    <row r="181" spans="1:8" x14ac:dyDescent="0.3">
      <c r="A181" s="1">
        <v>45950</v>
      </c>
      <c r="B181" t="s">
        <v>142</v>
      </c>
      <c r="C181" t="s">
        <v>18</v>
      </c>
      <c r="D181" t="s">
        <v>40</v>
      </c>
      <c r="E181" t="s">
        <v>11</v>
      </c>
      <c r="F181">
        <v>10</v>
      </c>
      <c r="G181">
        <v>176950</v>
      </c>
      <c r="H181">
        <v>44017.67</v>
      </c>
    </row>
    <row r="182" spans="1:8" x14ac:dyDescent="0.3">
      <c r="A182" s="1">
        <v>45995</v>
      </c>
      <c r="B182" t="s">
        <v>170</v>
      </c>
      <c r="C182" t="s">
        <v>29</v>
      </c>
      <c r="D182" t="s">
        <v>47</v>
      </c>
      <c r="E182" t="s">
        <v>44</v>
      </c>
      <c r="F182">
        <v>5</v>
      </c>
      <c r="G182">
        <v>25660</v>
      </c>
      <c r="H182">
        <v>4521.5</v>
      </c>
    </row>
    <row r="183" spans="1:8" x14ac:dyDescent="0.3">
      <c r="A183" s="1">
        <v>45968</v>
      </c>
      <c r="B183" t="s">
        <v>171</v>
      </c>
      <c r="C183" t="s">
        <v>18</v>
      </c>
      <c r="D183" t="s">
        <v>19</v>
      </c>
      <c r="E183" t="s">
        <v>20</v>
      </c>
      <c r="F183">
        <v>8</v>
      </c>
      <c r="G183">
        <v>9216</v>
      </c>
      <c r="H183">
        <v>2153.84</v>
      </c>
    </row>
    <row r="184" spans="1:8" x14ac:dyDescent="0.3">
      <c r="A184" s="1">
        <v>45775</v>
      </c>
      <c r="B184" t="s">
        <v>172</v>
      </c>
      <c r="C184" t="s">
        <v>16</v>
      </c>
      <c r="D184" t="s">
        <v>26</v>
      </c>
      <c r="E184" t="s">
        <v>27</v>
      </c>
      <c r="F184">
        <v>6</v>
      </c>
      <c r="G184">
        <v>816</v>
      </c>
      <c r="H184">
        <v>153.59</v>
      </c>
    </row>
    <row r="185" spans="1:8" x14ac:dyDescent="0.3">
      <c r="A185" s="1">
        <v>46005</v>
      </c>
      <c r="B185" t="s">
        <v>165</v>
      </c>
      <c r="C185" t="s">
        <v>35</v>
      </c>
      <c r="D185" t="s">
        <v>52</v>
      </c>
      <c r="E185" t="s">
        <v>31</v>
      </c>
      <c r="F185">
        <v>12</v>
      </c>
      <c r="G185">
        <v>27840</v>
      </c>
      <c r="H185">
        <v>5200.57</v>
      </c>
    </row>
    <row r="186" spans="1:8" x14ac:dyDescent="0.3">
      <c r="A186" s="1">
        <v>45883</v>
      </c>
      <c r="B186" t="s">
        <v>173</v>
      </c>
      <c r="C186" t="s">
        <v>16</v>
      </c>
      <c r="D186" t="s">
        <v>54</v>
      </c>
      <c r="E186" t="s">
        <v>11</v>
      </c>
      <c r="F186">
        <v>10</v>
      </c>
      <c r="G186">
        <v>569550</v>
      </c>
      <c r="H186">
        <v>116473.64</v>
      </c>
    </row>
    <row r="187" spans="1:8" x14ac:dyDescent="0.3">
      <c r="A187" s="1">
        <v>45809</v>
      </c>
      <c r="B187" t="s">
        <v>174</v>
      </c>
      <c r="C187" t="s">
        <v>35</v>
      </c>
      <c r="D187" t="s">
        <v>40</v>
      </c>
      <c r="E187" t="s">
        <v>11</v>
      </c>
      <c r="F187">
        <v>12</v>
      </c>
      <c r="G187">
        <v>259380</v>
      </c>
      <c r="H187">
        <v>28495.18</v>
      </c>
    </row>
    <row r="188" spans="1:8" x14ac:dyDescent="0.3">
      <c r="A188" s="1">
        <v>45934</v>
      </c>
      <c r="B188" t="s">
        <v>175</v>
      </c>
      <c r="C188" t="s">
        <v>29</v>
      </c>
      <c r="D188" t="s">
        <v>30</v>
      </c>
      <c r="E188" t="s">
        <v>31</v>
      </c>
      <c r="F188">
        <v>6</v>
      </c>
      <c r="G188">
        <v>20244</v>
      </c>
      <c r="H188">
        <v>3346.44</v>
      </c>
    </row>
    <row r="189" spans="1:8" x14ac:dyDescent="0.3">
      <c r="A189" s="1">
        <v>45742</v>
      </c>
      <c r="B189" t="s">
        <v>176</v>
      </c>
      <c r="C189" t="s">
        <v>35</v>
      </c>
      <c r="D189" t="s">
        <v>22</v>
      </c>
      <c r="E189" t="s">
        <v>11</v>
      </c>
      <c r="F189">
        <v>8</v>
      </c>
      <c r="G189">
        <v>7232</v>
      </c>
      <c r="H189">
        <v>1496.41</v>
      </c>
    </row>
    <row r="190" spans="1:8" x14ac:dyDescent="0.3">
      <c r="A190" s="1">
        <v>45716</v>
      </c>
      <c r="B190" t="s">
        <v>177</v>
      </c>
      <c r="C190" t="s">
        <v>9</v>
      </c>
      <c r="D190" t="s">
        <v>43</v>
      </c>
      <c r="E190" t="s">
        <v>44</v>
      </c>
      <c r="F190">
        <v>2</v>
      </c>
      <c r="G190">
        <v>12612</v>
      </c>
      <c r="H190">
        <v>2625.89</v>
      </c>
    </row>
    <row r="191" spans="1:8" x14ac:dyDescent="0.3">
      <c r="A191" s="1">
        <v>46004</v>
      </c>
      <c r="B191" t="s">
        <v>136</v>
      </c>
      <c r="C191" t="s">
        <v>18</v>
      </c>
      <c r="D191" t="s">
        <v>19</v>
      </c>
      <c r="E191" t="s">
        <v>20</v>
      </c>
      <c r="F191">
        <v>11</v>
      </c>
      <c r="G191">
        <v>7766</v>
      </c>
      <c r="H191">
        <v>1898.29</v>
      </c>
    </row>
    <row r="192" spans="1:8" x14ac:dyDescent="0.3">
      <c r="A192" s="1">
        <v>45704</v>
      </c>
      <c r="B192" t="s">
        <v>164</v>
      </c>
      <c r="C192" t="s">
        <v>18</v>
      </c>
      <c r="D192" t="s">
        <v>52</v>
      </c>
      <c r="E192" t="s">
        <v>31</v>
      </c>
      <c r="F192">
        <v>7</v>
      </c>
      <c r="G192">
        <v>9198</v>
      </c>
      <c r="H192">
        <v>1149.3599999999999</v>
      </c>
    </row>
    <row r="193" spans="1:8" x14ac:dyDescent="0.3">
      <c r="A193" s="1">
        <v>45846</v>
      </c>
      <c r="B193" t="s">
        <v>152</v>
      </c>
      <c r="C193" t="s">
        <v>9</v>
      </c>
      <c r="D193" t="s">
        <v>13</v>
      </c>
      <c r="E193" t="s">
        <v>14</v>
      </c>
      <c r="F193">
        <v>12</v>
      </c>
      <c r="G193">
        <v>41436</v>
      </c>
      <c r="H193">
        <v>5161.58</v>
      </c>
    </row>
    <row r="194" spans="1:8" x14ac:dyDescent="0.3">
      <c r="A194" s="1">
        <v>45984</v>
      </c>
      <c r="B194" t="s">
        <v>28</v>
      </c>
      <c r="C194" t="s">
        <v>16</v>
      </c>
      <c r="D194" t="s">
        <v>40</v>
      </c>
      <c r="E194" t="s">
        <v>11</v>
      </c>
      <c r="F194">
        <v>2</v>
      </c>
      <c r="G194">
        <v>31322</v>
      </c>
      <c r="H194">
        <v>5016.25</v>
      </c>
    </row>
    <row r="195" spans="1:8" x14ac:dyDescent="0.3">
      <c r="A195" s="1">
        <v>45945</v>
      </c>
      <c r="B195" t="s">
        <v>150</v>
      </c>
      <c r="C195" t="s">
        <v>9</v>
      </c>
      <c r="D195" t="s">
        <v>40</v>
      </c>
      <c r="E195" t="s">
        <v>11</v>
      </c>
      <c r="F195">
        <v>10</v>
      </c>
      <c r="G195">
        <v>152530</v>
      </c>
      <c r="H195">
        <v>28996.09</v>
      </c>
    </row>
    <row r="196" spans="1:8" x14ac:dyDescent="0.3">
      <c r="A196" s="1">
        <v>46016</v>
      </c>
      <c r="B196" t="s">
        <v>178</v>
      </c>
      <c r="C196" t="s">
        <v>29</v>
      </c>
      <c r="D196" t="s">
        <v>22</v>
      </c>
      <c r="E196" t="s">
        <v>11</v>
      </c>
      <c r="F196">
        <v>11</v>
      </c>
      <c r="G196">
        <v>12496</v>
      </c>
      <c r="H196">
        <v>1247.54</v>
      </c>
    </row>
    <row r="197" spans="1:8" x14ac:dyDescent="0.3">
      <c r="A197" s="1">
        <v>45813</v>
      </c>
      <c r="B197" t="s">
        <v>139</v>
      </c>
      <c r="C197" t="s">
        <v>29</v>
      </c>
      <c r="D197" t="s">
        <v>43</v>
      </c>
      <c r="E197" t="s">
        <v>44</v>
      </c>
      <c r="F197">
        <v>2</v>
      </c>
      <c r="G197">
        <v>11184</v>
      </c>
      <c r="H197">
        <v>1341.14</v>
      </c>
    </row>
    <row r="198" spans="1:8" x14ac:dyDescent="0.3">
      <c r="A198" s="1">
        <v>45856</v>
      </c>
      <c r="B198" t="s">
        <v>156</v>
      </c>
      <c r="C198" t="s">
        <v>18</v>
      </c>
      <c r="D198" t="s">
        <v>43</v>
      </c>
      <c r="E198" t="s">
        <v>44</v>
      </c>
      <c r="F198">
        <v>6</v>
      </c>
      <c r="G198">
        <v>89910</v>
      </c>
      <c r="H198">
        <v>21703.8</v>
      </c>
    </row>
    <row r="199" spans="1:8" x14ac:dyDescent="0.3">
      <c r="A199" s="1">
        <v>45958</v>
      </c>
      <c r="B199" t="s">
        <v>151</v>
      </c>
      <c r="C199" t="s">
        <v>29</v>
      </c>
      <c r="D199" t="s">
        <v>19</v>
      </c>
      <c r="E199" t="s">
        <v>20</v>
      </c>
      <c r="F199">
        <v>12</v>
      </c>
      <c r="G199">
        <v>5496</v>
      </c>
      <c r="H199">
        <v>1266.94</v>
      </c>
    </row>
    <row r="200" spans="1:8" x14ac:dyDescent="0.3">
      <c r="A200" s="1">
        <v>45908</v>
      </c>
      <c r="B200" t="s">
        <v>121</v>
      </c>
      <c r="C200" t="s">
        <v>18</v>
      </c>
      <c r="D200" t="s">
        <v>26</v>
      </c>
      <c r="E200" t="s">
        <v>27</v>
      </c>
      <c r="F200">
        <v>7</v>
      </c>
      <c r="G200">
        <v>1057</v>
      </c>
      <c r="H200">
        <v>90.44</v>
      </c>
    </row>
    <row r="201" spans="1:8" x14ac:dyDescent="0.3">
      <c r="A201" s="1">
        <v>45885</v>
      </c>
      <c r="B201" t="s">
        <v>179</v>
      </c>
      <c r="C201" t="s">
        <v>9</v>
      </c>
      <c r="D201" t="s">
        <v>43</v>
      </c>
      <c r="E201" t="s">
        <v>44</v>
      </c>
      <c r="F201">
        <v>4</v>
      </c>
      <c r="G201">
        <v>39768</v>
      </c>
      <c r="H201">
        <v>3853.13</v>
      </c>
    </row>
    <row r="202" spans="1:8" x14ac:dyDescent="0.3">
      <c r="A202" s="1">
        <v>45988</v>
      </c>
      <c r="B202" t="s">
        <v>151</v>
      </c>
      <c r="C202" t="s">
        <v>9</v>
      </c>
      <c r="D202" t="s">
        <v>40</v>
      </c>
      <c r="E202" t="s">
        <v>11</v>
      </c>
      <c r="F202">
        <v>1</v>
      </c>
      <c r="G202">
        <v>21046</v>
      </c>
      <c r="H202">
        <v>2670.73</v>
      </c>
    </row>
    <row r="203" spans="1:8" x14ac:dyDescent="0.3">
      <c r="A203" s="1">
        <v>45890</v>
      </c>
      <c r="B203" t="s">
        <v>80</v>
      </c>
      <c r="C203" t="s">
        <v>9</v>
      </c>
      <c r="D203" t="s">
        <v>10</v>
      </c>
      <c r="E203" t="s">
        <v>11</v>
      </c>
      <c r="F203">
        <v>11</v>
      </c>
      <c r="G203">
        <v>208450</v>
      </c>
      <c r="H203">
        <v>39415.760000000002</v>
      </c>
    </row>
    <row r="204" spans="1:8" x14ac:dyDescent="0.3">
      <c r="A204" s="1">
        <v>45683</v>
      </c>
      <c r="B204" t="s">
        <v>180</v>
      </c>
      <c r="C204" t="s">
        <v>18</v>
      </c>
      <c r="D204" t="s">
        <v>52</v>
      </c>
      <c r="E204" t="s">
        <v>31</v>
      </c>
      <c r="F204">
        <v>6</v>
      </c>
      <c r="G204">
        <v>19170</v>
      </c>
      <c r="H204">
        <v>4756.07</v>
      </c>
    </row>
    <row r="205" spans="1:8" x14ac:dyDescent="0.3">
      <c r="A205" s="1">
        <v>45693</v>
      </c>
      <c r="B205" t="s">
        <v>181</v>
      </c>
      <c r="C205" t="s">
        <v>9</v>
      </c>
      <c r="D205" t="s">
        <v>56</v>
      </c>
      <c r="E205" t="s">
        <v>31</v>
      </c>
      <c r="F205">
        <v>9</v>
      </c>
      <c r="G205">
        <v>8316</v>
      </c>
      <c r="H205">
        <v>1494.26</v>
      </c>
    </row>
    <row r="206" spans="1:8" x14ac:dyDescent="0.3">
      <c r="A206" s="1">
        <v>45733</v>
      </c>
      <c r="B206" t="s">
        <v>182</v>
      </c>
      <c r="C206" t="s">
        <v>9</v>
      </c>
      <c r="D206" t="s">
        <v>52</v>
      </c>
      <c r="E206" t="s">
        <v>31</v>
      </c>
      <c r="F206">
        <v>10</v>
      </c>
      <c r="G206">
        <v>12230</v>
      </c>
      <c r="H206">
        <v>1554.88</v>
      </c>
    </row>
    <row r="207" spans="1:8" x14ac:dyDescent="0.3">
      <c r="A207" s="1">
        <v>45934</v>
      </c>
      <c r="B207" t="s">
        <v>183</v>
      </c>
      <c r="C207" t="s">
        <v>16</v>
      </c>
      <c r="D207" t="s">
        <v>22</v>
      </c>
      <c r="E207" t="s">
        <v>11</v>
      </c>
      <c r="F207">
        <v>3</v>
      </c>
      <c r="G207">
        <v>1575</v>
      </c>
      <c r="H207">
        <v>303</v>
      </c>
    </row>
    <row r="208" spans="1:8" x14ac:dyDescent="0.3">
      <c r="A208" s="1">
        <v>45665</v>
      </c>
      <c r="B208" t="s">
        <v>90</v>
      </c>
      <c r="C208" t="s">
        <v>9</v>
      </c>
      <c r="D208" t="s">
        <v>40</v>
      </c>
      <c r="E208" t="s">
        <v>11</v>
      </c>
      <c r="F208">
        <v>4</v>
      </c>
      <c r="G208">
        <v>74436</v>
      </c>
      <c r="H208">
        <v>6154.58</v>
      </c>
    </row>
    <row r="209" spans="1:8" x14ac:dyDescent="0.3">
      <c r="A209" s="1">
        <v>45722</v>
      </c>
      <c r="B209" t="s">
        <v>107</v>
      </c>
      <c r="C209" t="s">
        <v>29</v>
      </c>
      <c r="D209" t="s">
        <v>19</v>
      </c>
      <c r="E209" t="s">
        <v>20</v>
      </c>
      <c r="F209">
        <v>7</v>
      </c>
      <c r="G209">
        <v>5866</v>
      </c>
      <c r="H209">
        <v>582.61</v>
      </c>
    </row>
    <row r="210" spans="1:8" x14ac:dyDescent="0.3">
      <c r="A210" s="1">
        <v>45887</v>
      </c>
      <c r="B210" t="s">
        <v>25</v>
      </c>
      <c r="C210" t="s">
        <v>18</v>
      </c>
      <c r="D210" t="s">
        <v>52</v>
      </c>
      <c r="E210" t="s">
        <v>31</v>
      </c>
      <c r="F210">
        <v>6</v>
      </c>
      <c r="G210">
        <v>32424</v>
      </c>
      <c r="H210">
        <v>5866.25</v>
      </c>
    </row>
    <row r="211" spans="1:8" x14ac:dyDescent="0.3">
      <c r="A211" s="1">
        <v>45771</v>
      </c>
      <c r="B211" t="s">
        <v>184</v>
      </c>
      <c r="C211" t="s">
        <v>16</v>
      </c>
      <c r="D211" t="s">
        <v>26</v>
      </c>
      <c r="E211" t="s">
        <v>27</v>
      </c>
      <c r="F211">
        <v>1</v>
      </c>
      <c r="G211">
        <v>266</v>
      </c>
      <c r="H211">
        <v>56.7</v>
      </c>
    </row>
    <row r="212" spans="1:8" x14ac:dyDescent="0.3">
      <c r="A212" s="1">
        <v>45892</v>
      </c>
      <c r="B212" t="s">
        <v>124</v>
      </c>
      <c r="C212" t="s">
        <v>35</v>
      </c>
      <c r="D212" t="s">
        <v>13</v>
      </c>
      <c r="E212" t="s">
        <v>14</v>
      </c>
      <c r="F212">
        <v>1</v>
      </c>
      <c r="G212">
        <v>949</v>
      </c>
      <c r="H212">
        <v>237.02</v>
      </c>
    </row>
    <row r="213" spans="1:8" x14ac:dyDescent="0.3">
      <c r="A213" s="1">
        <v>46009</v>
      </c>
      <c r="B213" t="s">
        <v>185</v>
      </c>
      <c r="C213" t="s">
        <v>18</v>
      </c>
      <c r="D213" t="s">
        <v>10</v>
      </c>
      <c r="E213" t="s">
        <v>11</v>
      </c>
      <c r="F213">
        <v>8</v>
      </c>
      <c r="G213">
        <v>212272</v>
      </c>
      <c r="H213">
        <v>19633.759999999998</v>
      </c>
    </row>
    <row r="214" spans="1:8" x14ac:dyDescent="0.3">
      <c r="A214" s="1">
        <v>45969</v>
      </c>
      <c r="B214" t="s">
        <v>186</v>
      </c>
      <c r="C214" t="s">
        <v>29</v>
      </c>
      <c r="D214" t="s">
        <v>36</v>
      </c>
      <c r="E214" t="s">
        <v>11</v>
      </c>
      <c r="F214">
        <v>2</v>
      </c>
      <c r="G214">
        <v>3666</v>
      </c>
      <c r="H214">
        <v>464.68</v>
      </c>
    </row>
    <row r="215" spans="1:8" x14ac:dyDescent="0.3">
      <c r="A215" s="1">
        <v>46022</v>
      </c>
      <c r="B215" t="s">
        <v>61</v>
      </c>
      <c r="C215" t="s">
        <v>18</v>
      </c>
      <c r="D215" t="s">
        <v>40</v>
      </c>
      <c r="E215" t="s">
        <v>11</v>
      </c>
      <c r="F215">
        <v>7</v>
      </c>
      <c r="G215">
        <v>123641</v>
      </c>
      <c r="H215">
        <v>19427.91</v>
      </c>
    </row>
    <row r="216" spans="1:8" x14ac:dyDescent="0.3">
      <c r="A216" s="1">
        <v>45708</v>
      </c>
      <c r="B216" t="s">
        <v>37</v>
      </c>
      <c r="C216" t="s">
        <v>29</v>
      </c>
      <c r="D216" t="s">
        <v>52</v>
      </c>
      <c r="E216" t="s">
        <v>31</v>
      </c>
      <c r="F216">
        <v>12</v>
      </c>
      <c r="G216">
        <v>25644</v>
      </c>
      <c r="H216">
        <v>5769.25</v>
      </c>
    </row>
    <row r="217" spans="1:8" x14ac:dyDescent="0.3">
      <c r="A217" s="1">
        <v>45768</v>
      </c>
      <c r="B217" t="s">
        <v>187</v>
      </c>
      <c r="C217" t="s">
        <v>29</v>
      </c>
      <c r="D217" t="s">
        <v>47</v>
      </c>
      <c r="E217" t="s">
        <v>44</v>
      </c>
      <c r="F217">
        <v>8</v>
      </c>
      <c r="G217">
        <v>69944</v>
      </c>
      <c r="H217">
        <v>10515.96</v>
      </c>
    </row>
    <row r="218" spans="1:8" x14ac:dyDescent="0.3">
      <c r="A218" s="1">
        <v>45870</v>
      </c>
      <c r="B218" t="s">
        <v>162</v>
      </c>
      <c r="C218" t="s">
        <v>35</v>
      </c>
      <c r="D218" t="s">
        <v>19</v>
      </c>
      <c r="E218" t="s">
        <v>20</v>
      </c>
      <c r="F218">
        <v>2</v>
      </c>
      <c r="G218">
        <v>1240</v>
      </c>
      <c r="H218">
        <v>189.16</v>
      </c>
    </row>
    <row r="219" spans="1:8" x14ac:dyDescent="0.3">
      <c r="A219" s="1">
        <v>45736</v>
      </c>
      <c r="B219" t="s">
        <v>59</v>
      </c>
      <c r="C219" t="s">
        <v>18</v>
      </c>
      <c r="D219" t="s">
        <v>13</v>
      </c>
      <c r="E219" t="s">
        <v>14</v>
      </c>
      <c r="F219">
        <v>8</v>
      </c>
      <c r="G219">
        <v>7792</v>
      </c>
      <c r="H219">
        <v>744.2</v>
      </c>
    </row>
    <row r="220" spans="1:8" x14ac:dyDescent="0.3">
      <c r="A220" s="1">
        <v>45879</v>
      </c>
      <c r="B220" t="s">
        <v>77</v>
      </c>
      <c r="C220" t="s">
        <v>35</v>
      </c>
      <c r="D220" t="s">
        <v>10</v>
      </c>
      <c r="E220" t="s">
        <v>11</v>
      </c>
      <c r="F220">
        <v>12</v>
      </c>
      <c r="G220">
        <v>290520</v>
      </c>
      <c r="H220">
        <v>63333.59</v>
      </c>
    </row>
    <row r="221" spans="1:8" x14ac:dyDescent="0.3">
      <c r="A221" s="1">
        <v>45958</v>
      </c>
      <c r="B221" t="s">
        <v>115</v>
      </c>
      <c r="C221" t="s">
        <v>35</v>
      </c>
      <c r="D221" t="s">
        <v>62</v>
      </c>
      <c r="E221" t="s">
        <v>27</v>
      </c>
      <c r="F221">
        <v>9</v>
      </c>
      <c r="G221">
        <v>1206</v>
      </c>
      <c r="H221">
        <v>233.85</v>
      </c>
    </row>
    <row r="222" spans="1:8" x14ac:dyDescent="0.3">
      <c r="A222" s="1">
        <v>45998</v>
      </c>
      <c r="B222" t="s">
        <v>172</v>
      </c>
      <c r="C222" t="s">
        <v>18</v>
      </c>
      <c r="D222" t="s">
        <v>52</v>
      </c>
      <c r="E222" t="s">
        <v>31</v>
      </c>
      <c r="F222">
        <v>7</v>
      </c>
      <c r="G222">
        <v>11347</v>
      </c>
      <c r="H222">
        <v>2775.79</v>
      </c>
    </row>
    <row r="223" spans="1:8" x14ac:dyDescent="0.3">
      <c r="A223" s="1">
        <v>45838</v>
      </c>
      <c r="B223" t="s">
        <v>67</v>
      </c>
      <c r="C223" t="s">
        <v>9</v>
      </c>
      <c r="D223" t="s">
        <v>10</v>
      </c>
      <c r="E223" t="s">
        <v>11</v>
      </c>
      <c r="F223">
        <v>10</v>
      </c>
      <c r="G223">
        <v>286260</v>
      </c>
      <c r="H223">
        <v>33253.56</v>
      </c>
    </row>
    <row r="224" spans="1:8" x14ac:dyDescent="0.3">
      <c r="A224" s="1">
        <v>45713</v>
      </c>
      <c r="B224" t="s">
        <v>149</v>
      </c>
      <c r="C224" t="s">
        <v>9</v>
      </c>
      <c r="D224" t="s">
        <v>40</v>
      </c>
      <c r="E224" t="s">
        <v>11</v>
      </c>
      <c r="F224">
        <v>9</v>
      </c>
      <c r="G224">
        <v>180396</v>
      </c>
      <c r="H224">
        <v>17954.900000000001</v>
      </c>
    </row>
    <row r="225" spans="1:8" x14ac:dyDescent="0.3">
      <c r="A225" s="1">
        <v>45773</v>
      </c>
      <c r="B225" t="s">
        <v>188</v>
      </c>
      <c r="C225" t="s">
        <v>35</v>
      </c>
      <c r="D225" t="s">
        <v>52</v>
      </c>
      <c r="E225" t="s">
        <v>31</v>
      </c>
      <c r="F225">
        <v>7</v>
      </c>
      <c r="G225">
        <v>40565</v>
      </c>
      <c r="H225">
        <v>9965.7199999999993</v>
      </c>
    </row>
    <row r="226" spans="1:8" x14ac:dyDescent="0.3">
      <c r="A226" s="1">
        <v>46003</v>
      </c>
      <c r="B226" t="s">
        <v>90</v>
      </c>
      <c r="C226" t="s">
        <v>16</v>
      </c>
      <c r="D226" t="s">
        <v>13</v>
      </c>
      <c r="E226" t="s">
        <v>14</v>
      </c>
      <c r="F226">
        <v>9</v>
      </c>
      <c r="G226">
        <v>7263</v>
      </c>
      <c r="H226">
        <v>1332.97</v>
      </c>
    </row>
    <row r="227" spans="1:8" x14ac:dyDescent="0.3">
      <c r="A227" s="1">
        <v>45750</v>
      </c>
      <c r="B227" t="s">
        <v>189</v>
      </c>
      <c r="C227" t="s">
        <v>35</v>
      </c>
      <c r="D227" t="s">
        <v>22</v>
      </c>
      <c r="E227" t="s">
        <v>11</v>
      </c>
      <c r="F227">
        <v>12</v>
      </c>
      <c r="G227">
        <v>11184</v>
      </c>
      <c r="H227">
        <v>2646.82</v>
      </c>
    </row>
    <row r="228" spans="1:8" x14ac:dyDescent="0.3">
      <c r="A228" s="1">
        <v>45750</v>
      </c>
      <c r="B228" t="s">
        <v>141</v>
      </c>
      <c r="C228" t="s">
        <v>35</v>
      </c>
      <c r="D228" t="s">
        <v>56</v>
      </c>
      <c r="E228" t="s">
        <v>31</v>
      </c>
      <c r="F228">
        <v>3</v>
      </c>
      <c r="G228">
        <v>4977</v>
      </c>
      <c r="H228">
        <v>954.33</v>
      </c>
    </row>
    <row r="229" spans="1:8" x14ac:dyDescent="0.3">
      <c r="A229" s="1">
        <v>45982</v>
      </c>
      <c r="B229" t="s">
        <v>190</v>
      </c>
      <c r="C229" t="s">
        <v>35</v>
      </c>
      <c r="D229" t="s">
        <v>54</v>
      </c>
      <c r="E229" t="s">
        <v>11</v>
      </c>
      <c r="F229">
        <v>2</v>
      </c>
      <c r="G229">
        <v>124764</v>
      </c>
      <c r="H229">
        <v>14544.06</v>
      </c>
    </row>
    <row r="230" spans="1:8" x14ac:dyDescent="0.3">
      <c r="A230" s="1">
        <v>45832</v>
      </c>
      <c r="B230" t="s">
        <v>159</v>
      </c>
      <c r="C230" t="s">
        <v>9</v>
      </c>
      <c r="D230" t="s">
        <v>36</v>
      </c>
      <c r="E230" t="s">
        <v>11</v>
      </c>
      <c r="F230">
        <v>6</v>
      </c>
      <c r="G230">
        <v>20112</v>
      </c>
      <c r="H230">
        <v>4076.13</v>
      </c>
    </row>
    <row r="231" spans="1:8" x14ac:dyDescent="0.3">
      <c r="A231" s="1">
        <v>45701</v>
      </c>
      <c r="B231" t="s">
        <v>80</v>
      </c>
      <c r="C231" t="s">
        <v>9</v>
      </c>
      <c r="D231" t="s">
        <v>30</v>
      </c>
      <c r="E231" t="s">
        <v>31</v>
      </c>
      <c r="F231">
        <v>1</v>
      </c>
      <c r="G231">
        <v>1837</v>
      </c>
      <c r="H231">
        <v>196.12</v>
      </c>
    </row>
    <row r="232" spans="1:8" x14ac:dyDescent="0.3">
      <c r="A232" s="1">
        <v>46003</v>
      </c>
      <c r="B232" t="s">
        <v>191</v>
      </c>
      <c r="C232" t="s">
        <v>9</v>
      </c>
      <c r="D232" t="s">
        <v>10</v>
      </c>
      <c r="E232" t="s">
        <v>11</v>
      </c>
      <c r="F232">
        <v>5</v>
      </c>
      <c r="G232">
        <v>132595</v>
      </c>
      <c r="H232">
        <v>25528.46</v>
      </c>
    </row>
    <row r="233" spans="1:8" x14ac:dyDescent="0.3">
      <c r="A233" s="1">
        <v>45884</v>
      </c>
      <c r="B233" t="s">
        <v>23</v>
      </c>
      <c r="C233" t="s">
        <v>35</v>
      </c>
      <c r="D233" t="s">
        <v>47</v>
      </c>
      <c r="E233" t="s">
        <v>44</v>
      </c>
      <c r="F233">
        <v>5</v>
      </c>
      <c r="G233">
        <v>42655</v>
      </c>
      <c r="H233">
        <v>8886.76</v>
      </c>
    </row>
    <row r="234" spans="1:8" x14ac:dyDescent="0.3">
      <c r="A234" s="1">
        <v>45878</v>
      </c>
      <c r="B234" t="s">
        <v>192</v>
      </c>
      <c r="C234" t="s">
        <v>16</v>
      </c>
      <c r="D234" t="s">
        <v>10</v>
      </c>
      <c r="E234" t="s">
        <v>11</v>
      </c>
      <c r="F234">
        <v>5</v>
      </c>
      <c r="G234">
        <v>171115</v>
      </c>
      <c r="H234">
        <v>33426.06</v>
      </c>
    </row>
    <row r="235" spans="1:8" x14ac:dyDescent="0.3">
      <c r="A235" s="1">
        <v>45999</v>
      </c>
      <c r="B235" t="s">
        <v>80</v>
      </c>
      <c r="C235" t="s">
        <v>9</v>
      </c>
      <c r="D235" t="s">
        <v>22</v>
      </c>
      <c r="E235" t="s">
        <v>11</v>
      </c>
      <c r="F235">
        <v>1</v>
      </c>
      <c r="G235">
        <v>751</v>
      </c>
      <c r="H235">
        <v>110.54</v>
      </c>
    </row>
    <row r="236" spans="1:8" x14ac:dyDescent="0.3">
      <c r="A236" s="1">
        <v>45661</v>
      </c>
      <c r="B236" t="s">
        <v>174</v>
      </c>
      <c r="C236" t="s">
        <v>18</v>
      </c>
      <c r="D236" t="s">
        <v>24</v>
      </c>
      <c r="E236" t="s">
        <v>11</v>
      </c>
      <c r="F236">
        <v>5</v>
      </c>
      <c r="G236">
        <v>12180</v>
      </c>
      <c r="H236">
        <v>1411.78</v>
      </c>
    </row>
    <row r="237" spans="1:8" x14ac:dyDescent="0.3">
      <c r="A237" s="1">
        <v>45788</v>
      </c>
      <c r="B237" t="s">
        <v>51</v>
      </c>
      <c r="C237" t="s">
        <v>18</v>
      </c>
      <c r="D237" t="s">
        <v>22</v>
      </c>
      <c r="E237" t="s">
        <v>11</v>
      </c>
      <c r="F237">
        <v>6</v>
      </c>
      <c r="G237">
        <v>3270</v>
      </c>
      <c r="H237">
        <v>265.89999999999998</v>
      </c>
    </row>
    <row r="238" spans="1:8" x14ac:dyDescent="0.3">
      <c r="A238" s="1">
        <v>45724</v>
      </c>
      <c r="B238" t="s">
        <v>193</v>
      </c>
      <c r="C238" t="s">
        <v>18</v>
      </c>
      <c r="D238" t="s">
        <v>47</v>
      </c>
      <c r="E238" t="s">
        <v>44</v>
      </c>
      <c r="F238">
        <v>9</v>
      </c>
      <c r="G238">
        <v>148752</v>
      </c>
      <c r="H238">
        <v>17719.16</v>
      </c>
    </row>
    <row r="239" spans="1:8" x14ac:dyDescent="0.3">
      <c r="A239" s="1">
        <v>46000</v>
      </c>
      <c r="B239" t="s">
        <v>194</v>
      </c>
      <c r="C239" t="s">
        <v>29</v>
      </c>
      <c r="D239" t="s">
        <v>52</v>
      </c>
      <c r="E239" t="s">
        <v>31</v>
      </c>
      <c r="F239">
        <v>6</v>
      </c>
      <c r="G239">
        <v>10740</v>
      </c>
      <c r="H239">
        <v>1584.17</v>
      </c>
    </row>
    <row r="240" spans="1:8" x14ac:dyDescent="0.3">
      <c r="A240" s="1">
        <v>45667</v>
      </c>
      <c r="B240" t="s">
        <v>45</v>
      </c>
      <c r="C240" t="s">
        <v>35</v>
      </c>
      <c r="D240" t="s">
        <v>43</v>
      </c>
      <c r="E240" t="s">
        <v>44</v>
      </c>
      <c r="F240">
        <v>2</v>
      </c>
      <c r="G240">
        <v>18258</v>
      </c>
      <c r="H240">
        <v>3247.72</v>
      </c>
    </row>
    <row r="241" spans="1:8" x14ac:dyDescent="0.3">
      <c r="A241" s="1">
        <v>46021</v>
      </c>
      <c r="B241" t="s">
        <v>195</v>
      </c>
      <c r="C241" t="s">
        <v>18</v>
      </c>
      <c r="D241" t="s">
        <v>13</v>
      </c>
      <c r="E241" t="s">
        <v>14</v>
      </c>
      <c r="F241">
        <v>7</v>
      </c>
      <c r="G241">
        <v>13195</v>
      </c>
      <c r="H241">
        <v>1313.95</v>
      </c>
    </row>
    <row r="242" spans="1:8" x14ac:dyDescent="0.3">
      <c r="A242" s="1">
        <v>45745</v>
      </c>
      <c r="B242" t="s">
        <v>196</v>
      </c>
      <c r="C242" t="s">
        <v>35</v>
      </c>
      <c r="D242" t="s">
        <v>52</v>
      </c>
      <c r="E242" t="s">
        <v>31</v>
      </c>
      <c r="F242">
        <v>10</v>
      </c>
      <c r="G242">
        <v>49690</v>
      </c>
      <c r="H242">
        <v>11003.57</v>
      </c>
    </row>
    <row r="243" spans="1:8" x14ac:dyDescent="0.3">
      <c r="A243" s="1">
        <v>45881</v>
      </c>
      <c r="B243" t="s">
        <v>197</v>
      </c>
      <c r="C243" t="s">
        <v>18</v>
      </c>
      <c r="D243" t="s">
        <v>56</v>
      </c>
      <c r="E243" t="s">
        <v>31</v>
      </c>
      <c r="F243">
        <v>2</v>
      </c>
      <c r="G243">
        <v>1996</v>
      </c>
      <c r="H243">
        <v>307.51</v>
      </c>
    </row>
    <row r="244" spans="1:8" x14ac:dyDescent="0.3">
      <c r="A244" s="1">
        <v>45698</v>
      </c>
      <c r="B244" t="s">
        <v>176</v>
      </c>
      <c r="C244" t="s">
        <v>16</v>
      </c>
      <c r="D244" t="s">
        <v>47</v>
      </c>
      <c r="E244" t="s">
        <v>44</v>
      </c>
      <c r="F244">
        <v>5</v>
      </c>
      <c r="G244">
        <v>86095</v>
      </c>
      <c r="H244">
        <v>11856.77</v>
      </c>
    </row>
    <row r="245" spans="1:8" x14ac:dyDescent="0.3">
      <c r="A245" s="1">
        <v>45744</v>
      </c>
      <c r="B245" t="s">
        <v>133</v>
      </c>
      <c r="C245" t="s">
        <v>35</v>
      </c>
      <c r="D245" t="s">
        <v>10</v>
      </c>
      <c r="E245" t="s">
        <v>11</v>
      </c>
      <c r="F245">
        <v>9</v>
      </c>
      <c r="G245">
        <v>294741</v>
      </c>
      <c r="H245">
        <v>29292.7</v>
      </c>
    </row>
    <row r="246" spans="1:8" x14ac:dyDescent="0.3">
      <c r="A246" s="1">
        <v>45836</v>
      </c>
      <c r="B246" t="s">
        <v>88</v>
      </c>
      <c r="C246" t="s">
        <v>18</v>
      </c>
      <c r="D246" t="s">
        <v>40</v>
      </c>
      <c r="E246" t="s">
        <v>11</v>
      </c>
      <c r="F246">
        <v>12</v>
      </c>
      <c r="G246">
        <v>154068</v>
      </c>
      <c r="H246">
        <v>18513.689999999999</v>
      </c>
    </row>
    <row r="247" spans="1:8" x14ac:dyDescent="0.3">
      <c r="A247" s="1">
        <v>45759</v>
      </c>
      <c r="B247" t="s">
        <v>141</v>
      </c>
      <c r="C247" t="s">
        <v>9</v>
      </c>
      <c r="D247" t="s">
        <v>36</v>
      </c>
      <c r="E247" t="s">
        <v>11</v>
      </c>
      <c r="F247">
        <v>10</v>
      </c>
      <c r="G247">
        <v>20520</v>
      </c>
      <c r="H247">
        <v>4293.54</v>
      </c>
    </row>
    <row r="248" spans="1:8" x14ac:dyDescent="0.3">
      <c r="A248" s="1">
        <v>45979</v>
      </c>
      <c r="B248" t="s">
        <v>33</v>
      </c>
      <c r="C248" t="s">
        <v>35</v>
      </c>
      <c r="D248" t="s">
        <v>43</v>
      </c>
      <c r="E248" t="s">
        <v>44</v>
      </c>
      <c r="F248">
        <v>8</v>
      </c>
      <c r="G248">
        <v>105888</v>
      </c>
      <c r="H248">
        <v>22149.56</v>
      </c>
    </row>
    <row r="249" spans="1:8" x14ac:dyDescent="0.3">
      <c r="A249" s="1">
        <v>45947</v>
      </c>
      <c r="B249" t="s">
        <v>198</v>
      </c>
      <c r="C249" t="s">
        <v>29</v>
      </c>
      <c r="D249" t="s">
        <v>13</v>
      </c>
      <c r="E249" t="s">
        <v>14</v>
      </c>
      <c r="F249">
        <v>11</v>
      </c>
      <c r="G249">
        <v>35838</v>
      </c>
      <c r="H249">
        <v>4836.17</v>
      </c>
    </row>
    <row r="250" spans="1:8" x14ac:dyDescent="0.3">
      <c r="A250" s="1">
        <v>45883</v>
      </c>
      <c r="B250" t="s">
        <v>149</v>
      </c>
      <c r="C250" t="s">
        <v>9</v>
      </c>
      <c r="D250" t="s">
        <v>10</v>
      </c>
      <c r="E250" t="s">
        <v>11</v>
      </c>
      <c r="F250">
        <v>8</v>
      </c>
      <c r="G250">
        <v>211920</v>
      </c>
      <c r="H250">
        <v>39700.129999999997</v>
      </c>
    </row>
    <row r="251" spans="1:8" x14ac:dyDescent="0.3">
      <c r="A251" s="1">
        <v>45686</v>
      </c>
      <c r="B251" t="s">
        <v>199</v>
      </c>
      <c r="C251" t="s">
        <v>9</v>
      </c>
      <c r="D251" t="s">
        <v>40</v>
      </c>
      <c r="E251" t="s">
        <v>11</v>
      </c>
      <c r="F251">
        <v>9</v>
      </c>
      <c r="G251">
        <v>93879</v>
      </c>
      <c r="H251">
        <v>12464.25</v>
      </c>
    </row>
    <row r="252" spans="1:8" x14ac:dyDescent="0.3">
      <c r="A252" s="1">
        <v>45687</v>
      </c>
      <c r="B252" t="s">
        <v>148</v>
      </c>
      <c r="C252" t="s">
        <v>29</v>
      </c>
      <c r="D252" t="s">
        <v>40</v>
      </c>
      <c r="E252" t="s">
        <v>11</v>
      </c>
      <c r="F252">
        <v>5</v>
      </c>
      <c r="G252">
        <v>52570</v>
      </c>
      <c r="H252">
        <v>9966.92</v>
      </c>
    </row>
    <row r="253" spans="1:8" x14ac:dyDescent="0.3">
      <c r="A253" s="1">
        <v>45962</v>
      </c>
      <c r="B253" t="s">
        <v>200</v>
      </c>
      <c r="C253" t="s">
        <v>9</v>
      </c>
      <c r="D253" t="s">
        <v>62</v>
      </c>
      <c r="E253" t="s">
        <v>27</v>
      </c>
      <c r="F253">
        <v>7</v>
      </c>
      <c r="G253">
        <v>1176</v>
      </c>
      <c r="H253">
        <v>210.1</v>
      </c>
    </row>
    <row r="254" spans="1:8" x14ac:dyDescent="0.3">
      <c r="A254" s="1">
        <v>45950</v>
      </c>
      <c r="B254" t="s">
        <v>78</v>
      </c>
      <c r="C254" t="s">
        <v>9</v>
      </c>
      <c r="D254" t="s">
        <v>13</v>
      </c>
      <c r="E254" t="s">
        <v>14</v>
      </c>
      <c r="F254">
        <v>4</v>
      </c>
      <c r="G254">
        <v>8064</v>
      </c>
      <c r="H254">
        <v>1474.51</v>
      </c>
    </row>
    <row r="255" spans="1:8" x14ac:dyDescent="0.3">
      <c r="A255" s="1">
        <v>45689</v>
      </c>
      <c r="B255" t="s">
        <v>127</v>
      </c>
      <c r="C255" t="s">
        <v>18</v>
      </c>
      <c r="D255" t="s">
        <v>43</v>
      </c>
      <c r="E255" t="s">
        <v>44</v>
      </c>
      <c r="F255">
        <v>2</v>
      </c>
      <c r="G255">
        <v>19252</v>
      </c>
      <c r="H255">
        <v>4755.3500000000004</v>
      </c>
    </row>
    <row r="256" spans="1:8" x14ac:dyDescent="0.3">
      <c r="A256" s="1">
        <v>45988</v>
      </c>
      <c r="B256" t="s">
        <v>25</v>
      </c>
      <c r="C256" t="s">
        <v>18</v>
      </c>
      <c r="D256" t="s">
        <v>36</v>
      </c>
      <c r="E256" t="s">
        <v>11</v>
      </c>
      <c r="F256">
        <v>1</v>
      </c>
      <c r="G256">
        <v>2829</v>
      </c>
      <c r="H256">
        <v>566.64</v>
      </c>
    </row>
    <row r="257" spans="1:8" x14ac:dyDescent="0.3">
      <c r="A257" s="1">
        <v>45925</v>
      </c>
      <c r="B257" t="s">
        <v>201</v>
      </c>
      <c r="C257" t="s">
        <v>35</v>
      </c>
      <c r="D257" t="s">
        <v>26</v>
      </c>
      <c r="E257" t="s">
        <v>27</v>
      </c>
      <c r="F257">
        <v>3</v>
      </c>
      <c r="G257">
        <v>519</v>
      </c>
      <c r="H257">
        <v>74.42</v>
      </c>
    </row>
    <row r="258" spans="1:8" x14ac:dyDescent="0.3">
      <c r="A258" s="1">
        <v>45867</v>
      </c>
      <c r="B258" t="s">
        <v>105</v>
      </c>
      <c r="C258" t="s">
        <v>35</v>
      </c>
      <c r="D258" t="s">
        <v>52</v>
      </c>
      <c r="E258" t="s">
        <v>31</v>
      </c>
      <c r="F258">
        <v>6</v>
      </c>
      <c r="G258">
        <v>9768</v>
      </c>
      <c r="H258">
        <v>2092</v>
      </c>
    </row>
    <row r="259" spans="1:8" x14ac:dyDescent="0.3">
      <c r="A259" s="1">
        <v>45826</v>
      </c>
      <c r="B259" t="s">
        <v>34</v>
      </c>
      <c r="C259" t="s">
        <v>35</v>
      </c>
      <c r="D259" t="s">
        <v>10</v>
      </c>
      <c r="E259" t="s">
        <v>11</v>
      </c>
      <c r="F259">
        <v>9</v>
      </c>
      <c r="G259">
        <v>308061</v>
      </c>
      <c r="H259">
        <v>44889.39</v>
      </c>
    </row>
    <row r="260" spans="1:8" x14ac:dyDescent="0.3">
      <c r="A260" s="1">
        <v>45994</v>
      </c>
      <c r="B260" t="s">
        <v>144</v>
      </c>
      <c r="C260" t="s">
        <v>18</v>
      </c>
      <c r="D260" t="s">
        <v>30</v>
      </c>
      <c r="E260" t="s">
        <v>31</v>
      </c>
      <c r="F260">
        <v>10</v>
      </c>
      <c r="G260">
        <v>18150</v>
      </c>
      <c r="H260">
        <v>2480.59</v>
      </c>
    </row>
    <row r="261" spans="1:8" x14ac:dyDescent="0.3">
      <c r="A261" s="1">
        <v>45730</v>
      </c>
      <c r="B261" t="s">
        <v>202</v>
      </c>
      <c r="C261" t="s">
        <v>35</v>
      </c>
      <c r="D261" t="s">
        <v>30</v>
      </c>
      <c r="E261" t="s">
        <v>31</v>
      </c>
      <c r="F261">
        <v>6</v>
      </c>
      <c r="G261">
        <v>14820</v>
      </c>
      <c r="H261">
        <v>3623.61</v>
      </c>
    </row>
    <row r="262" spans="1:8" x14ac:dyDescent="0.3">
      <c r="A262" s="1">
        <v>45962</v>
      </c>
      <c r="B262" t="s">
        <v>161</v>
      </c>
      <c r="C262" t="s">
        <v>9</v>
      </c>
      <c r="D262" t="s">
        <v>19</v>
      </c>
      <c r="E262" t="s">
        <v>20</v>
      </c>
      <c r="F262">
        <v>2</v>
      </c>
      <c r="G262">
        <v>1234</v>
      </c>
      <c r="H262">
        <v>215.97</v>
      </c>
    </row>
    <row r="263" spans="1:8" x14ac:dyDescent="0.3">
      <c r="A263" s="1">
        <v>45723</v>
      </c>
      <c r="B263" t="s">
        <v>117</v>
      </c>
      <c r="C263" t="s">
        <v>18</v>
      </c>
      <c r="D263" t="s">
        <v>13</v>
      </c>
      <c r="E263" t="s">
        <v>14</v>
      </c>
      <c r="F263">
        <v>12</v>
      </c>
      <c r="G263">
        <v>34272</v>
      </c>
      <c r="H263">
        <v>3286.24</v>
      </c>
    </row>
    <row r="264" spans="1:8" x14ac:dyDescent="0.3">
      <c r="A264" s="1">
        <v>45843</v>
      </c>
      <c r="B264" t="s">
        <v>203</v>
      </c>
      <c r="C264" t="s">
        <v>35</v>
      </c>
      <c r="D264" t="s">
        <v>54</v>
      </c>
      <c r="E264" t="s">
        <v>11</v>
      </c>
      <c r="F264">
        <v>6</v>
      </c>
      <c r="G264">
        <v>330720</v>
      </c>
      <c r="H264">
        <v>36592.410000000003</v>
      </c>
    </row>
    <row r="265" spans="1:8" x14ac:dyDescent="0.3">
      <c r="A265" s="1">
        <v>45906</v>
      </c>
      <c r="B265" t="s">
        <v>204</v>
      </c>
      <c r="C265" t="s">
        <v>9</v>
      </c>
      <c r="D265" t="s">
        <v>24</v>
      </c>
      <c r="E265" t="s">
        <v>11</v>
      </c>
      <c r="F265">
        <v>4</v>
      </c>
      <c r="G265">
        <v>3124</v>
      </c>
      <c r="H265">
        <v>332.21</v>
      </c>
    </row>
    <row r="266" spans="1:8" x14ac:dyDescent="0.3">
      <c r="A266" s="1">
        <v>45709</v>
      </c>
      <c r="B266" t="s">
        <v>205</v>
      </c>
      <c r="C266" t="s">
        <v>35</v>
      </c>
      <c r="D266" t="s">
        <v>62</v>
      </c>
      <c r="E266" t="s">
        <v>27</v>
      </c>
      <c r="F266">
        <v>9</v>
      </c>
      <c r="G266">
        <v>2151</v>
      </c>
      <c r="H266">
        <v>495.22</v>
      </c>
    </row>
    <row r="267" spans="1:8" x14ac:dyDescent="0.3">
      <c r="A267" s="1">
        <v>45830</v>
      </c>
      <c r="B267" t="s">
        <v>182</v>
      </c>
      <c r="C267" t="s">
        <v>16</v>
      </c>
      <c r="D267" t="s">
        <v>30</v>
      </c>
      <c r="E267" t="s">
        <v>31</v>
      </c>
      <c r="F267">
        <v>10</v>
      </c>
      <c r="G267">
        <v>17360</v>
      </c>
      <c r="H267">
        <v>3151.39</v>
      </c>
    </row>
    <row r="268" spans="1:8" x14ac:dyDescent="0.3">
      <c r="A268" s="1">
        <v>45750</v>
      </c>
      <c r="B268" t="s">
        <v>206</v>
      </c>
      <c r="C268" t="s">
        <v>35</v>
      </c>
      <c r="D268" t="s">
        <v>56</v>
      </c>
      <c r="E268" t="s">
        <v>31</v>
      </c>
      <c r="F268">
        <v>12</v>
      </c>
      <c r="G268">
        <v>21348</v>
      </c>
      <c r="H268">
        <v>4643.99</v>
      </c>
    </row>
    <row r="269" spans="1:8" x14ac:dyDescent="0.3">
      <c r="A269" s="1">
        <v>45882</v>
      </c>
      <c r="B269" t="s">
        <v>17</v>
      </c>
      <c r="C269" t="s">
        <v>16</v>
      </c>
      <c r="D269" t="s">
        <v>54</v>
      </c>
      <c r="E269" t="s">
        <v>11</v>
      </c>
      <c r="F269">
        <v>7</v>
      </c>
      <c r="G269">
        <v>398559</v>
      </c>
      <c r="H269">
        <v>77711.710000000006</v>
      </c>
    </row>
    <row r="270" spans="1:8" x14ac:dyDescent="0.3">
      <c r="A270" s="1">
        <v>45970</v>
      </c>
      <c r="B270" t="s">
        <v>207</v>
      </c>
      <c r="C270" t="s">
        <v>35</v>
      </c>
      <c r="D270" t="s">
        <v>22</v>
      </c>
      <c r="E270" t="s">
        <v>11</v>
      </c>
      <c r="F270">
        <v>12</v>
      </c>
      <c r="G270">
        <v>14628</v>
      </c>
      <c r="H270">
        <v>1752.15</v>
      </c>
    </row>
    <row r="271" spans="1:8" x14ac:dyDescent="0.3">
      <c r="A271" s="1">
        <v>45898</v>
      </c>
      <c r="B271" t="s">
        <v>208</v>
      </c>
      <c r="C271" t="s">
        <v>29</v>
      </c>
      <c r="D271" t="s">
        <v>30</v>
      </c>
      <c r="E271" t="s">
        <v>31</v>
      </c>
      <c r="F271">
        <v>4</v>
      </c>
      <c r="G271">
        <v>10824</v>
      </c>
      <c r="H271">
        <v>2114.06</v>
      </c>
    </row>
    <row r="272" spans="1:8" x14ac:dyDescent="0.3">
      <c r="A272" s="1">
        <v>45894</v>
      </c>
      <c r="B272" t="s">
        <v>51</v>
      </c>
      <c r="C272" t="s">
        <v>35</v>
      </c>
      <c r="D272" t="s">
        <v>52</v>
      </c>
      <c r="E272" t="s">
        <v>31</v>
      </c>
      <c r="F272">
        <v>5</v>
      </c>
      <c r="G272">
        <v>21640</v>
      </c>
      <c r="H272">
        <v>3581.29</v>
      </c>
    </row>
    <row r="273" spans="1:8" x14ac:dyDescent="0.3">
      <c r="A273" s="1">
        <v>45760</v>
      </c>
      <c r="B273" t="s">
        <v>205</v>
      </c>
      <c r="C273" t="s">
        <v>18</v>
      </c>
      <c r="D273" t="s">
        <v>52</v>
      </c>
      <c r="E273" t="s">
        <v>31</v>
      </c>
      <c r="F273">
        <v>10</v>
      </c>
      <c r="G273">
        <v>23330</v>
      </c>
      <c r="H273">
        <v>5328.81</v>
      </c>
    </row>
    <row r="274" spans="1:8" x14ac:dyDescent="0.3">
      <c r="A274" s="1">
        <v>45904</v>
      </c>
      <c r="B274" t="s">
        <v>209</v>
      </c>
      <c r="C274" t="s">
        <v>18</v>
      </c>
      <c r="D274" t="s">
        <v>56</v>
      </c>
      <c r="E274" t="s">
        <v>31</v>
      </c>
      <c r="F274">
        <v>6</v>
      </c>
      <c r="G274">
        <v>9810</v>
      </c>
      <c r="H274">
        <v>2342.92</v>
      </c>
    </row>
    <row r="275" spans="1:8" x14ac:dyDescent="0.3">
      <c r="A275" s="1">
        <v>45721</v>
      </c>
      <c r="B275" t="s">
        <v>78</v>
      </c>
      <c r="C275" t="s">
        <v>16</v>
      </c>
      <c r="D275" t="s">
        <v>22</v>
      </c>
      <c r="E275" t="s">
        <v>11</v>
      </c>
      <c r="F275">
        <v>2</v>
      </c>
      <c r="G275">
        <v>1256</v>
      </c>
      <c r="H275">
        <v>158.72999999999999</v>
      </c>
    </row>
    <row r="276" spans="1:8" x14ac:dyDescent="0.3">
      <c r="A276" s="1">
        <v>45881</v>
      </c>
      <c r="B276" t="s">
        <v>210</v>
      </c>
      <c r="C276" t="s">
        <v>18</v>
      </c>
      <c r="D276" t="s">
        <v>10</v>
      </c>
      <c r="E276" t="s">
        <v>11</v>
      </c>
      <c r="F276">
        <v>4</v>
      </c>
      <c r="G276">
        <v>107128</v>
      </c>
      <c r="H276">
        <v>24680.91</v>
      </c>
    </row>
    <row r="277" spans="1:8" x14ac:dyDescent="0.3">
      <c r="A277" s="1">
        <v>45685</v>
      </c>
      <c r="B277" t="s">
        <v>185</v>
      </c>
      <c r="C277" t="s">
        <v>9</v>
      </c>
      <c r="D277" t="s">
        <v>47</v>
      </c>
      <c r="E277" t="s">
        <v>44</v>
      </c>
      <c r="F277">
        <v>9</v>
      </c>
      <c r="G277">
        <v>100134</v>
      </c>
      <c r="H277">
        <v>12024.32</v>
      </c>
    </row>
    <row r="278" spans="1:8" x14ac:dyDescent="0.3">
      <c r="A278" s="1">
        <v>45772</v>
      </c>
      <c r="B278" t="s">
        <v>176</v>
      </c>
      <c r="C278" t="s">
        <v>29</v>
      </c>
      <c r="D278" t="s">
        <v>54</v>
      </c>
      <c r="E278" t="s">
        <v>11</v>
      </c>
      <c r="F278">
        <v>6</v>
      </c>
      <c r="G278">
        <v>289476</v>
      </c>
      <c r="H278">
        <v>64454.720000000001</v>
      </c>
    </row>
    <row r="279" spans="1:8" x14ac:dyDescent="0.3">
      <c r="A279" s="1">
        <v>45732</v>
      </c>
      <c r="B279" t="s">
        <v>211</v>
      </c>
      <c r="C279" t="s">
        <v>29</v>
      </c>
      <c r="D279" t="s">
        <v>36</v>
      </c>
      <c r="E279" t="s">
        <v>11</v>
      </c>
      <c r="F279">
        <v>1</v>
      </c>
      <c r="G279">
        <v>3150</v>
      </c>
      <c r="H279">
        <v>743.27</v>
      </c>
    </row>
    <row r="280" spans="1:8" x14ac:dyDescent="0.3">
      <c r="A280" s="1">
        <v>45729</v>
      </c>
      <c r="B280" t="s">
        <v>168</v>
      </c>
      <c r="C280" t="s">
        <v>9</v>
      </c>
      <c r="D280" t="s">
        <v>52</v>
      </c>
      <c r="E280" t="s">
        <v>31</v>
      </c>
      <c r="F280">
        <v>12</v>
      </c>
      <c r="G280">
        <v>60504</v>
      </c>
      <c r="H280">
        <v>9454.49</v>
      </c>
    </row>
    <row r="281" spans="1:8" x14ac:dyDescent="0.3">
      <c r="A281" s="1">
        <v>45698</v>
      </c>
      <c r="B281" t="s">
        <v>37</v>
      </c>
      <c r="C281" t="s">
        <v>16</v>
      </c>
      <c r="D281" t="s">
        <v>54</v>
      </c>
      <c r="E281" t="s">
        <v>11</v>
      </c>
      <c r="F281">
        <v>5</v>
      </c>
      <c r="G281">
        <v>260330</v>
      </c>
      <c r="H281">
        <v>57778.61</v>
      </c>
    </row>
    <row r="282" spans="1:8" x14ac:dyDescent="0.3">
      <c r="A282" s="1">
        <v>45969</v>
      </c>
      <c r="B282" t="s">
        <v>207</v>
      </c>
      <c r="C282" t="s">
        <v>9</v>
      </c>
      <c r="D282" t="s">
        <v>62</v>
      </c>
      <c r="E282" t="s">
        <v>27</v>
      </c>
      <c r="F282">
        <v>7</v>
      </c>
      <c r="G282">
        <v>546</v>
      </c>
      <c r="H282">
        <v>115.72</v>
      </c>
    </row>
    <row r="283" spans="1:8" x14ac:dyDescent="0.3">
      <c r="A283" s="1">
        <v>45720</v>
      </c>
      <c r="B283" t="s">
        <v>49</v>
      </c>
      <c r="C283" t="s">
        <v>9</v>
      </c>
      <c r="D283" t="s">
        <v>54</v>
      </c>
      <c r="E283" t="s">
        <v>11</v>
      </c>
      <c r="F283">
        <v>4</v>
      </c>
      <c r="G283">
        <v>235024</v>
      </c>
      <c r="H283">
        <v>44330.65</v>
      </c>
    </row>
    <row r="284" spans="1:8" x14ac:dyDescent="0.3">
      <c r="A284" s="1">
        <v>45690</v>
      </c>
      <c r="B284" t="s">
        <v>55</v>
      </c>
      <c r="C284" t="s">
        <v>29</v>
      </c>
      <c r="D284" t="s">
        <v>10</v>
      </c>
      <c r="E284" t="s">
        <v>11</v>
      </c>
      <c r="F284">
        <v>8</v>
      </c>
      <c r="G284">
        <v>252424</v>
      </c>
      <c r="H284">
        <v>43197.1</v>
      </c>
    </row>
    <row r="285" spans="1:8" x14ac:dyDescent="0.3">
      <c r="A285" s="1">
        <v>45781</v>
      </c>
      <c r="B285" t="s">
        <v>212</v>
      </c>
      <c r="C285" t="s">
        <v>35</v>
      </c>
      <c r="D285" t="s">
        <v>19</v>
      </c>
      <c r="E285" t="s">
        <v>20</v>
      </c>
      <c r="F285">
        <v>3</v>
      </c>
      <c r="G285">
        <v>1794</v>
      </c>
      <c r="H285">
        <v>274.43</v>
      </c>
    </row>
    <row r="286" spans="1:8" x14ac:dyDescent="0.3">
      <c r="A286" s="1">
        <v>45781</v>
      </c>
      <c r="B286" t="s">
        <v>127</v>
      </c>
      <c r="C286" t="s">
        <v>29</v>
      </c>
      <c r="D286" t="s">
        <v>26</v>
      </c>
      <c r="E286" t="s">
        <v>27</v>
      </c>
      <c r="F286">
        <v>7</v>
      </c>
      <c r="G286">
        <v>889</v>
      </c>
      <c r="H286">
        <v>171.53</v>
      </c>
    </row>
    <row r="287" spans="1:8" x14ac:dyDescent="0.3">
      <c r="A287" s="1">
        <v>45842</v>
      </c>
      <c r="B287" t="s">
        <v>213</v>
      </c>
      <c r="C287" t="s">
        <v>29</v>
      </c>
      <c r="D287" t="s">
        <v>10</v>
      </c>
      <c r="E287" t="s">
        <v>11</v>
      </c>
      <c r="F287">
        <v>9</v>
      </c>
      <c r="G287">
        <v>268452</v>
      </c>
      <c r="H287">
        <v>44628.99</v>
      </c>
    </row>
    <row r="288" spans="1:8" x14ac:dyDescent="0.3">
      <c r="A288" s="1">
        <v>45668</v>
      </c>
      <c r="B288" t="s">
        <v>85</v>
      </c>
      <c r="C288" t="s">
        <v>18</v>
      </c>
      <c r="D288" t="s">
        <v>47</v>
      </c>
      <c r="E288" t="s">
        <v>44</v>
      </c>
      <c r="F288">
        <v>8</v>
      </c>
      <c r="G288">
        <v>45704</v>
      </c>
      <c r="H288">
        <v>8595.2800000000007</v>
      </c>
    </row>
    <row r="289" spans="1:8" x14ac:dyDescent="0.3">
      <c r="A289" s="1">
        <v>45666</v>
      </c>
      <c r="B289" t="s">
        <v>109</v>
      </c>
      <c r="C289" t="s">
        <v>9</v>
      </c>
      <c r="D289" t="s">
        <v>40</v>
      </c>
      <c r="E289" t="s">
        <v>11</v>
      </c>
      <c r="F289">
        <v>2</v>
      </c>
      <c r="G289">
        <v>38596</v>
      </c>
      <c r="H289">
        <v>4669.78</v>
      </c>
    </row>
    <row r="290" spans="1:8" x14ac:dyDescent="0.3">
      <c r="A290" s="1">
        <v>45955</v>
      </c>
      <c r="B290" t="s">
        <v>136</v>
      </c>
      <c r="C290" t="s">
        <v>29</v>
      </c>
      <c r="D290" t="s">
        <v>19</v>
      </c>
      <c r="E290" t="s">
        <v>20</v>
      </c>
      <c r="F290">
        <v>6</v>
      </c>
      <c r="G290">
        <v>2616</v>
      </c>
      <c r="H290">
        <v>229</v>
      </c>
    </row>
    <row r="291" spans="1:8" x14ac:dyDescent="0.3">
      <c r="A291" s="1">
        <v>45987</v>
      </c>
      <c r="B291" t="s">
        <v>154</v>
      </c>
      <c r="C291" t="s">
        <v>9</v>
      </c>
      <c r="D291" t="s">
        <v>36</v>
      </c>
      <c r="E291" t="s">
        <v>11</v>
      </c>
      <c r="F291">
        <v>11</v>
      </c>
      <c r="G291">
        <v>50666</v>
      </c>
      <c r="H291">
        <v>12501.29</v>
      </c>
    </row>
    <row r="292" spans="1:8" x14ac:dyDescent="0.3">
      <c r="A292" s="1">
        <v>45751</v>
      </c>
      <c r="B292" t="s">
        <v>199</v>
      </c>
      <c r="C292" t="s">
        <v>18</v>
      </c>
      <c r="D292" t="s">
        <v>52</v>
      </c>
      <c r="E292" t="s">
        <v>31</v>
      </c>
      <c r="F292">
        <v>3</v>
      </c>
      <c r="G292">
        <v>5148</v>
      </c>
      <c r="H292">
        <v>1038.49</v>
      </c>
    </row>
    <row r="293" spans="1:8" x14ac:dyDescent="0.3">
      <c r="A293" s="1">
        <v>45808</v>
      </c>
      <c r="B293" t="s">
        <v>214</v>
      </c>
      <c r="C293" t="s">
        <v>9</v>
      </c>
      <c r="D293" t="s">
        <v>24</v>
      </c>
      <c r="E293" t="s">
        <v>11</v>
      </c>
      <c r="F293">
        <v>1</v>
      </c>
      <c r="G293">
        <v>2120</v>
      </c>
      <c r="H293">
        <v>241.49</v>
      </c>
    </row>
    <row r="294" spans="1:8" x14ac:dyDescent="0.3">
      <c r="A294" s="1">
        <v>45816</v>
      </c>
      <c r="B294" t="s">
        <v>215</v>
      </c>
      <c r="C294" t="s">
        <v>29</v>
      </c>
      <c r="D294" t="s">
        <v>62</v>
      </c>
      <c r="E294" t="s">
        <v>27</v>
      </c>
      <c r="F294">
        <v>7</v>
      </c>
      <c r="G294">
        <v>1323</v>
      </c>
      <c r="H294">
        <v>212.31</v>
      </c>
    </row>
    <row r="295" spans="1:8" x14ac:dyDescent="0.3">
      <c r="A295" s="1">
        <v>45989</v>
      </c>
      <c r="B295" t="s">
        <v>66</v>
      </c>
      <c r="C295" t="s">
        <v>9</v>
      </c>
      <c r="D295" t="s">
        <v>24</v>
      </c>
      <c r="E295" t="s">
        <v>11</v>
      </c>
      <c r="F295">
        <v>5</v>
      </c>
      <c r="G295">
        <v>6155</v>
      </c>
      <c r="H295">
        <v>1394.5</v>
      </c>
    </row>
    <row r="296" spans="1:8" x14ac:dyDescent="0.3">
      <c r="A296" s="1">
        <v>45993</v>
      </c>
      <c r="B296" t="s">
        <v>216</v>
      </c>
      <c r="C296" t="s">
        <v>18</v>
      </c>
      <c r="D296" t="s">
        <v>40</v>
      </c>
      <c r="E296" t="s">
        <v>11</v>
      </c>
      <c r="F296">
        <v>5</v>
      </c>
      <c r="G296">
        <v>60390</v>
      </c>
      <c r="H296">
        <v>13037.49</v>
      </c>
    </row>
    <row r="297" spans="1:8" x14ac:dyDescent="0.3">
      <c r="A297" s="1">
        <v>45862</v>
      </c>
      <c r="B297" t="s">
        <v>217</v>
      </c>
      <c r="C297" t="s">
        <v>35</v>
      </c>
      <c r="D297" t="s">
        <v>19</v>
      </c>
      <c r="E297" t="s">
        <v>20</v>
      </c>
      <c r="F297">
        <v>8</v>
      </c>
      <c r="G297">
        <v>5560</v>
      </c>
      <c r="H297">
        <v>765.26</v>
      </c>
    </row>
    <row r="298" spans="1:8" x14ac:dyDescent="0.3">
      <c r="A298" s="1">
        <v>46012</v>
      </c>
      <c r="B298" t="s">
        <v>218</v>
      </c>
      <c r="C298" t="s">
        <v>9</v>
      </c>
      <c r="D298" t="s">
        <v>43</v>
      </c>
      <c r="E298" t="s">
        <v>44</v>
      </c>
      <c r="F298">
        <v>6</v>
      </c>
      <c r="G298">
        <v>75042</v>
      </c>
      <c r="H298">
        <v>9405.9500000000007</v>
      </c>
    </row>
    <row r="299" spans="1:8" x14ac:dyDescent="0.3">
      <c r="A299" s="1">
        <v>45875</v>
      </c>
      <c r="B299" t="s">
        <v>53</v>
      </c>
      <c r="C299" t="s">
        <v>29</v>
      </c>
      <c r="D299" t="s">
        <v>10</v>
      </c>
      <c r="E299" t="s">
        <v>11</v>
      </c>
      <c r="F299">
        <v>7</v>
      </c>
      <c r="G299">
        <v>222187</v>
      </c>
      <c r="H299">
        <v>55361.599999999999</v>
      </c>
    </row>
    <row r="300" spans="1:8" x14ac:dyDescent="0.3">
      <c r="A300" s="1">
        <v>45808</v>
      </c>
      <c r="B300" t="s">
        <v>102</v>
      </c>
      <c r="C300" t="s">
        <v>18</v>
      </c>
      <c r="D300" t="s">
        <v>40</v>
      </c>
      <c r="E300" t="s">
        <v>11</v>
      </c>
      <c r="F300">
        <v>2</v>
      </c>
      <c r="G300">
        <v>21246</v>
      </c>
      <c r="H300">
        <v>2884.07</v>
      </c>
    </row>
    <row r="301" spans="1:8" x14ac:dyDescent="0.3">
      <c r="A301" s="1">
        <v>45886</v>
      </c>
      <c r="B301" t="s">
        <v>96</v>
      </c>
      <c r="C301" t="s">
        <v>29</v>
      </c>
      <c r="D301" t="s">
        <v>26</v>
      </c>
      <c r="E301" t="s">
        <v>27</v>
      </c>
      <c r="F301">
        <v>12</v>
      </c>
      <c r="G301">
        <v>2268</v>
      </c>
      <c r="H301">
        <v>245.69</v>
      </c>
    </row>
    <row r="302" spans="1:8" x14ac:dyDescent="0.3">
      <c r="A302" s="1">
        <v>45886</v>
      </c>
      <c r="B302" t="s">
        <v>120</v>
      </c>
      <c r="C302" t="s">
        <v>29</v>
      </c>
      <c r="D302" t="s">
        <v>54</v>
      </c>
      <c r="E302" t="s">
        <v>11</v>
      </c>
      <c r="F302">
        <v>12</v>
      </c>
      <c r="G302">
        <v>678624</v>
      </c>
      <c r="H302">
        <v>125222.93</v>
      </c>
    </row>
    <row r="303" spans="1:8" x14ac:dyDescent="0.3">
      <c r="A303" s="1">
        <v>45985</v>
      </c>
      <c r="B303" t="s">
        <v>131</v>
      </c>
      <c r="C303" t="s">
        <v>9</v>
      </c>
      <c r="D303" t="s">
        <v>52</v>
      </c>
      <c r="E303" t="s">
        <v>31</v>
      </c>
      <c r="F303">
        <v>1</v>
      </c>
      <c r="G303">
        <v>1814</v>
      </c>
      <c r="H303">
        <v>352.1</v>
      </c>
    </row>
    <row r="304" spans="1:8" x14ac:dyDescent="0.3">
      <c r="A304" s="1">
        <v>45920</v>
      </c>
      <c r="B304" t="s">
        <v>219</v>
      </c>
      <c r="C304" t="s">
        <v>29</v>
      </c>
      <c r="D304" t="s">
        <v>52</v>
      </c>
      <c r="E304" t="s">
        <v>31</v>
      </c>
      <c r="F304">
        <v>12</v>
      </c>
      <c r="G304">
        <v>30120</v>
      </c>
      <c r="H304">
        <v>7288.26</v>
      </c>
    </row>
    <row r="305" spans="1:8" x14ac:dyDescent="0.3">
      <c r="A305" s="1">
        <v>45969</v>
      </c>
      <c r="B305" t="s">
        <v>32</v>
      </c>
      <c r="C305" t="s">
        <v>9</v>
      </c>
      <c r="D305" t="s">
        <v>13</v>
      </c>
      <c r="E305" t="s">
        <v>14</v>
      </c>
      <c r="F305">
        <v>8</v>
      </c>
      <c r="G305">
        <v>6736</v>
      </c>
      <c r="H305">
        <v>683.43</v>
      </c>
    </row>
    <row r="306" spans="1:8" x14ac:dyDescent="0.3">
      <c r="A306" s="1">
        <v>45988</v>
      </c>
      <c r="B306" t="s">
        <v>220</v>
      </c>
      <c r="C306" t="s">
        <v>35</v>
      </c>
      <c r="D306" t="s">
        <v>40</v>
      </c>
      <c r="E306" t="s">
        <v>11</v>
      </c>
      <c r="F306">
        <v>6</v>
      </c>
      <c r="G306">
        <v>123270</v>
      </c>
      <c r="H306">
        <v>29758.54</v>
      </c>
    </row>
    <row r="307" spans="1:8" x14ac:dyDescent="0.3">
      <c r="A307" s="1">
        <v>45736</v>
      </c>
      <c r="B307" t="s">
        <v>148</v>
      </c>
      <c r="C307" t="s">
        <v>29</v>
      </c>
      <c r="D307" t="s">
        <v>13</v>
      </c>
      <c r="E307" t="s">
        <v>14</v>
      </c>
      <c r="F307">
        <v>8</v>
      </c>
      <c r="G307">
        <v>17752</v>
      </c>
      <c r="H307">
        <v>2542.84</v>
      </c>
    </row>
    <row r="308" spans="1:8" x14ac:dyDescent="0.3">
      <c r="A308" s="1">
        <v>45728</v>
      </c>
      <c r="B308" t="s">
        <v>221</v>
      </c>
      <c r="C308" t="s">
        <v>29</v>
      </c>
      <c r="D308" t="s">
        <v>62</v>
      </c>
      <c r="E308" t="s">
        <v>27</v>
      </c>
      <c r="F308">
        <v>6</v>
      </c>
      <c r="G308">
        <v>906</v>
      </c>
      <c r="H308">
        <v>120.9</v>
      </c>
    </row>
    <row r="309" spans="1:8" x14ac:dyDescent="0.3">
      <c r="A309" s="1">
        <v>45716</v>
      </c>
      <c r="B309" t="s">
        <v>222</v>
      </c>
      <c r="C309" t="s">
        <v>29</v>
      </c>
      <c r="D309" t="s">
        <v>54</v>
      </c>
      <c r="E309" t="s">
        <v>11</v>
      </c>
      <c r="F309">
        <v>12</v>
      </c>
      <c r="G309">
        <v>613152</v>
      </c>
      <c r="H309">
        <v>101070.43</v>
      </c>
    </row>
    <row r="310" spans="1:8" x14ac:dyDescent="0.3">
      <c r="A310" s="1">
        <v>45945</v>
      </c>
      <c r="B310" t="s">
        <v>223</v>
      </c>
      <c r="C310" t="s">
        <v>16</v>
      </c>
      <c r="D310" t="s">
        <v>10</v>
      </c>
      <c r="E310" t="s">
        <v>11</v>
      </c>
      <c r="F310">
        <v>5</v>
      </c>
      <c r="G310">
        <v>102645</v>
      </c>
      <c r="H310">
        <v>20496.810000000001</v>
      </c>
    </row>
    <row r="311" spans="1:8" x14ac:dyDescent="0.3">
      <c r="A311" s="1">
        <v>45804</v>
      </c>
      <c r="B311" t="s">
        <v>107</v>
      </c>
      <c r="C311" t="s">
        <v>16</v>
      </c>
      <c r="D311" t="s">
        <v>19</v>
      </c>
      <c r="E311" t="s">
        <v>20</v>
      </c>
      <c r="F311">
        <v>8</v>
      </c>
      <c r="G311">
        <v>4032</v>
      </c>
      <c r="H311">
        <v>406.62</v>
      </c>
    </row>
    <row r="312" spans="1:8" x14ac:dyDescent="0.3">
      <c r="A312" s="1">
        <v>45746</v>
      </c>
      <c r="B312" t="s">
        <v>224</v>
      </c>
      <c r="C312" t="s">
        <v>18</v>
      </c>
      <c r="D312" t="s">
        <v>30</v>
      </c>
      <c r="E312" t="s">
        <v>31</v>
      </c>
      <c r="F312">
        <v>12</v>
      </c>
      <c r="G312">
        <v>36276</v>
      </c>
      <c r="H312">
        <v>9052.1200000000008</v>
      </c>
    </row>
    <row r="313" spans="1:8" x14ac:dyDescent="0.3">
      <c r="A313" s="1">
        <v>45835</v>
      </c>
      <c r="B313" t="s">
        <v>204</v>
      </c>
      <c r="C313" t="s">
        <v>16</v>
      </c>
      <c r="D313" t="s">
        <v>19</v>
      </c>
      <c r="E313" t="s">
        <v>20</v>
      </c>
      <c r="F313">
        <v>2</v>
      </c>
      <c r="G313">
        <v>1726</v>
      </c>
      <c r="H313">
        <v>297.16000000000003</v>
      </c>
    </row>
    <row r="314" spans="1:8" x14ac:dyDescent="0.3">
      <c r="A314" s="1">
        <v>45738</v>
      </c>
      <c r="B314" t="s">
        <v>179</v>
      </c>
      <c r="C314" t="s">
        <v>18</v>
      </c>
      <c r="D314" t="s">
        <v>19</v>
      </c>
      <c r="E314" t="s">
        <v>20</v>
      </c>
      <c r="F314">
        <v>12</v>
      </c>
      <c r="G314">
        <v>12204</v>
      </c>
      <c r="H314">
        <v>2299.34</v>
      </c>
    </row>
    <row r="315" spans="1:8" x14ac:dyDescent="0.3">
      <c r="A315" s="1">
        <v>45772</v>
      </c>
      <c r="B315" t="s">
        <v>225</v>
      </c>
      <c r="C315" t="s">
        <v>16</v>
      </c>
      <c r="D315" t="s">
        <v>10</v>
      </c>
      <c r="E315" t="s">
        <v>11</v>
      </c>
      <c r="F315">
        <v>4</v>
      </c>
      <c r="G315">
        <v>66200</v>
      </c>
      <c r="H315">
        <v>7960.23</v>
      </c>
    </row>
    <row r="316" spans="1:8" x14ac:dyDescent="0.3">
      <c r="A316" s="1">
        <v>45842</v>
      </c>
      <c r="B316" t="s">
        <v>139</v>
      </c>
      <c r="C316" t="s">
        <v>35</v>
      </c>
      <c r="D316" t="s">
        <v>62</v>
      </c>
      <c r="E316" t="s">
        <v>27</v>
      </c>
      <c r="F316">
        <v>10</v>
      </c>
      <c r="G316">
        <v>1440</v>
      </c>
      <c r="H316">
        <v>229.62</v>
      </c>
    </row>
    <row r="317" spans="1:8" x14ac:dyDescent="0.3">
      <c r="A317" s="1">
        <v>45971</v>
      </c>
      <c r="B317" t="s">
        <v>192</v>
      </c>
      <c r="C317" t="s">
        <v>18</v>
      </c>
      <c r="D317" t="s">
        <v>30</v>
      </c>
      <c r="E317" t="s">
        <v>31</v>
      </c>
      <c r="F317">
        <v>2</v>
      </c>
      <c r="G317">
        <v>2938</v>
      </c>
      <c r="H317">
        <v>389.52</v>
      </c>
    </row>
    <row r="318" spans="1:8" x14ac:dyDescent="0.3">
      <c r="A318" s="1">
        <v>45868</v>
      </c>
      <c r="B318" t="s">
        <v>224</v>
      </c>
      <c r="C318" t="s">
        <v>16</v>
      </c>
      <c r="D318" t="s">
        <v>52</v>
      </c>
      <c r="E318" t="s">
        <v>31</v>
      </c>
      <c r="F318">
        <v>7</v>
      </c>
      <c r="G318">
        <v>41363</v>
      </c>
      <c r="H318">
        <v>3827.63</v>
      </c>
    </row>
    <row r="319" spans="1:8" x14ac:dyDescent="0.3">
      <c r="A319" s="1">
        <v>45695</v>
      </c>
      <c r="B319" t="s">
        <v>226</v>
      </c>
      <c r="C319" t="s">
        <v>35</v>
      </c>
      <c r="D319" t="s">
        <v>43</v>
      </c>
      <c r="E319" t="s">
        <v>44</v>
      </c>
      <c r="F319">
        <v>8</v>
      </c>
      <c r="G319">
        <v>99808</v>
      </c>
      <c r="H319">
        <v>13830.15</v>
      </c>
    </row>
    <row r="320" spans="1:8" x14ac:dyDescent="0.3">
      <c r="A320" s="1">
        <v>45958</v>
      </c>
      <c r="B320" t="s">
        <v>66</v>
      </c>
      <c r="C320" t="s">
        <v>16</v>
      </c>
      <c r="D320" t="s">
        <v>36</v>
      </c>
      <c r="E320" t="s">
        <v>11</v>
      </c>
      <c r="F320">
        <v>3</v>
      </c>
      <c r="G320">
        <v>13032</v>
      </c>
      <c r="H320">
        <v>2156.62</v>
      </c>
    </row>
    <row r="321" spans="1:8" x14ac:dyDescent="0.3">
      <c r="A321" s="1">
        <v>45721</v>
      </c>
      <c r="B321" t="s">
        <v>227</v>
      </c>
      <c r="C321" t="s">
        <v>9</v>
      </c>
      <c r="D321" t="s">
        <v>62</v>
      </c>
      <c r="E321" t="s">
        <v>27</v>
      </c>
      <c r="F321">
        <v>3</v>
      </c>
      <c r="G321">
        <v>381</v>
      </c>
      <c r="H321">
        <v>41.14</v>
      </c>
    </row>
    <row r="322" spans="1:8" x14ac:dyDescent="0.3">
      <c r="A322" s="1">
        <v>46021</v>
      </c>
      <c r="B322" t="s">
        <v>204</v>
      </c>
      <c r="C322" t="s">
        <v>9</v>
      </c>
      <c r="D322" t="s">
        <v>24</v>
      </c>
      <c r="E322" t="s">
        <v>11</v>
      </c>
      <c r="F322">
        <v>6</v>
      </c>
      <c r="G322">
        <v>14640</v>
      </c>
      <c r="H322">
        <v>3512.92</v>
      </c>
    </row>
    <row r="323" spans="1:8" x14ac:dyDescent="0.3">
      <c r="A323" s="1">
        <v>45698</v>
      </c>
      <c r="B323" t="s">
        <v>42</v>
      </c>
      <c r="C323" t="s">
        <v>35</v>
      </c>
      <c r="D323" t="s">
        <v>22</v>
      </c>
      <c r="E323" t="s">
        <v>11</v>
      </c>
      <c r="F323">
        <v>4</v>
      </c>
      <c r="G323">
        <v>6400</v>
      </c>
      <c r="H323">
        <v>1552.51</v>
      </c>
    </row>
    <row r="324" spans="1:8" x14ac:dyDescent="0.3">
      <c r="A324" s="1">
        <v>45978</v>
      </c>
      <c r="B324" t="s">
        <v>101</v>
      </c>
      <c r="C324" t="s">
        <v>29</v>
      </c>
      <c r="D324" t="s">
        <v>22</v>
      </c>
      <c r="E324" t="s">
        <v>11</v>
      </c>
      <c r="F324">
        <v>10</v>
      </c>
      <c r="G324">
        <v>13920</v>
      </c>
      <c r="H324">
        <v>1334.69</v>
      </c>
    </row>
    <row r="325" spans="1:8" x14ac:dyDescent="0.3">
      <c r="A325" s="1">
        <v>45955</v>
      </c>
      <c r="B325" t="s">
        <v>228</v>
      </c>
      <c r="C325" t="s">
        <v>29</v>
      </c>
      <c r="D325" t="s">
        <v>36</v>
      </c>
      <c r="E325" t="s">
        <v>11</v>
      </c>
      <c r="F325">
        <v>3</v>
      </c>
      <c r="G325">
        <v>10695</v>
      </c>
      <c r="H325">
        <v>2387.4499999999998</v>
      </c>
    </row>
    <row r="326" spans="1:8" x14ac:dyDescent="0.3">
      <c r="A326" s="1">
        <v>45672</v>
      </c>
      <c r="B326" t="s">
        <v>229</v>
      </c>
      <c r="C326" t="s">
        <v>9</v>
      </c>
      <c r="D326" t="s">
        <v>10</v>
      </c>
      <c r="E326" t="s">
        <v>11</v>
      </c>
      <c r="F326">
        <v>1</v>
      </c>
      <c r="G326">
        <v>33019</v>
      </c>
      <c r="H326">
        <v>6969.45</v>
      </c>
    </row>
    <row r="327" spans="1:8" x14ac:dyDescent="0.3">
      <c r="A327" s="1">
        <v>45765</v>
      </c>
      <c r="B327" t="s">
        <v>230</v>
      </c>
      <c r="C327" t="s">
        <v>9</v>
      </c>
      <c r="D327" t="s">
        <v>52</v>
      </c>
      <c r="E327" t="s">
        <v>31</v>
      </c>
      <c r="F327">
        <v>10</v>
      </c>
      <c r="G327">
        <v>46120</v>
      </c>
      <c r="H327">
        <v>8535.82</v>
      </c>
    </row>
    <row r="328" spans="1:8" x14ac:dyDescent="0.3">
      <c r="A328" s="1">
        <v>45979</v>
      </c>
      <c r="B328" t="s">
        <v>67</v>
      </c>
      <c r="C328" t="s">
        <v>29</v>
      </c>
      <c r="D328" t="s">
        <v>62</v>
      </c>
      <c r="E328" t="s">
        <v>27</v>
      </c>
      <c r="F328">
        <v>5</v>
      </c>
      <c r="G328">
        <v>1070</v>
      </c>
      <c r="H328">
        <v>259.61</v>
      </c>
    </row>
    <row r="329" spans="1:8" x14ac:dyDescent="0.3">
      <c r="A329" s="1">
        <v>46008</v>
      </c>
      <c r="B329" t="s">
        <v>74</v>
      </c>
      <c r="C329" t="s">
        <v>18</v>
      </c>
      <c r="D329" t="s">
        <v>47</v>
      </c>
      <c r="E329" t="s">
        <v>44</v>
      </c>
      <c r="F329">
        <v>5</v>
      </c>
      <c r="G329">
        <v>62150</v>
      </c>
      <c r="H329">
        <v>5743</v>
      </c>
    </row>
    <row r="330" spans="1:8" x14ac:dyDescent="0.3">
      <c r="A330" s="1">
        <v>45883</v>
      </c>
      <c r="B330" t="s">
        <v>231</v>
      </c>
      <c r="C330" t="s">
        <v>29</v>
      </c>
      <c r="D330" t="s">
        <v>47</v>
      </c>
      <c r="E330" t="s">
        <v>44</v>
      </c>
      <c r="F330">
        <v>8</v>
      </c>
      <c r="G330">
        <v>100872</v>
      </c>
      <c r="H330">
        <v>11568.4</v>
      </c>
    </row>
    <row r="331" spans="1:8" x14ac:dyDescent="0.3">
      <c r="A331" s="1">
        <v>45818</v>
      </c>
      <c r="B331" t="s">
        <v>69</v>
      </c>
      <c r="C331" t="s">
        <v>16</v>
      </c>
      <c r="D331" t="s">
        <v>56</v>
      </c>
      <c r="E331" t="s">
        <v>31</v>
      </c>
      <c r="F331">
        <v>12</v>
      </c>
      <c r="G331">
        <v>13836</v>
      </c>
      <c r="H331">
        <v>2833.81</v>
      </c>
    </row>
    <row r="332" spans="1:8" x14ac:dyDescent="0.3">
      <c r="A332" s="1">
        <v>45724</v>
      </c>
      <c r="B332" t="s">
        <v>41</v>
      </c>
      <c r="C332" t="s">
        <v>18</v>
      </c>
      <c r="D332" t="s">
        <v>52</v>
      </c>
      <c r="E332" t="s">
        <v>31</v>
      </c>
      <c r="F332">
        <v>6</v>
      </c>
      <c r="G332">
        <v>32508</v>
      </c>
      <c r="H332">
        <v>5704.53</v>
      </c>
    </row>
    <row r="333" spans="1:8" x14ac:dyDescent="0.3">
      <c r="A333" s="1">
        <v>45896</v>
      </c>
      <c r="B333" t="s">
        <v>70</v>
      </c>
      <c r="C333" t="s">
        <v>16</v>
      </c>
      <c r="D333" t="s">
        <v>10</v>
      </c>
      <c r="E333" t="s">
        <v>11</v>
      </c>
      <c r="F333">
        <v>5</v>
      </c>
      <c r="G333">
        <v>133660</v>
      </c>
      <c r="H333">
        <v>16326.06</v>
      </c>
    </row>
    <row r="334" spans="1:8" x14ac:dyDescent="0.3">
      <c r="A334" s="1">
        <v>45806</v>
      </c>
      <c r="B334" t="s">
        <v>232</v>
      </c>
      <c r="C334" t="s">
        <v>9</v>
      </c>
      <c r="D334" t="s">
        <v>47</v>
      </c>
      <c r="E334" t="s">
        <v>44</v>
      </c>
      <c r="F334">
        <v>10</v>
      </c>
      <c r="G334">
        <v>118500</v>
      </c>
      <c r="H334">
        <v>14481.4</v>
      </c>
    </row>
    <row r="335" spans="1:8" x14ac:dyDescent="0.3">
      <c r="A335" s="1">
        <v>45825</v>
      </c>
      <c r="B335" t="s">
        <v>217</v>
      </c>
      <c r="C335" t="s">
        <v>18</v>
      </c>
      <c r="D335" t="s">
        <v>30</v>
      </c>
      <c r="E335" t="s">
        <v>31</v>
      </c>
      <c r="F335">
        <v>10</v>
      </c>
      <c r="G335">
        <v>24800</v>
      </c>
      <c r="H335">
        <v>2784.34</v>
      </c>
    </row>
    <row r="336" spans="1:8" x14ac:dyDescent="0.3">
      <c r="A336" s="1">
        <v>45921</v>
      </c>
      <c r="B336" t="s">
        <v>233</v>
      </c>
      <c r="C336" t="s">
        <v>16</v>
      </c>
      <c r="D336" t="s">
        <v>43</v>
      </c>
      <c r="E336" t="s">
        <v>44</v>
      </c>
      <c r="F336">
        <v>8</v>
      </c>
      <c r="G336">
        <v>72440</v>
      </c>
      <c r="H336">
        <v>11920.22</v>
      </c>
    </row>
    <row r="337" spans="1:8" x14ac:dyDescent="0.3">
      <c r="A337" s="1">
        <v>45916</v>
      </c>
      <c r="B337" t="s">
        <v>178</v>
      </c>
      <c r="C337" t="s">
        <v>16</v>
      </c>
      <c r="D337" t="s">
        <v>43</v>
      </c>
      <c r="E337" t="s">
        <v>44</v>
      </c>
      <c r="F337">
        <v>4</v>
      </c>
      <c r="G337">
        <v>30096</v>
      </c>
      <c r="H337">
        <v>5392.26</v>
      </c>
    </row>
    <row r="338" spans="1:8" x14ac:dyDescent="0.3">
      <c r="A338" s="1">
        <v>45802</v>
      </c>
      <c r="B338" t="s">
        <v>100</v>
      </c>
      <c r="C338" t="s">
        <v>18</v>
      </c>
      <c r="D338" t="s">
        <v>43</v>
      </c>
      <c r="E338" t="s">
        <v>44</v>
      </c>
      <c r="F338">
        <v>10</v>
      </c>
      <c r="G338">
        <v>147190</v>
      </c>
      <c r="H338">
        <v>28603.21</v>
      </c>
    </row>
    <row r="339" spans="1:8" x14ac:dyDescent="0.3">
      <c r="A339" s="1">
        <v>45662</v>
      </c>
      <c r="B339" t="s">
        <v>34</v>
      </c>
      <c r="C339" t="s">
        <v>35</v>
      </c>
      <c r="D339" t="s">
        <v>56</v>
      </c>
      <c r="E339" t="s">
        <v>31</v>
      </c>
      <c r="F339">
        <v>2</v>
      </c>
      <c r="G339">
        <v>2764</v>
      </c>
      <c r="H339">
        <v>284.05</v>
      </c>
    </row>
    <row r="340" spans="1:8" x14ac:dyDescent="0.3">
      <c r="A340" s="1">
        <v>45845</v>
      </c>
      <c r="B340" t="s">
        <v>220</v>
      </c>
      <c r="C340" t="s">
        <v>29</v>
      </c>
      <c r="D340" t="s">
        <v>52</v>
      </c>
      <c r="E340" t="s">
        <v>31</v>
      </c>
      <c r="F340">
        <v>7</v>
      </c>
      <c r="G340">
        <v>29379</v>
      </c>
      <c r="H340">
        <v>2576.2800000000002</v>
      </c>
    </row>
    <row r="341" spans="1:8" x14ac:dyDescent="0.3">
      <c r="A341" s="1">
        <v>45945</v>
      </c>
      <c r="B341" t="s">
        <v>197</v>
      </c>
      <c r="C341" t="s">
        <v>16</v>
      </c>
      <c r="D341" t="s">
        <v>24</v>
      </c>
      <c r="E341" t="s">
        <v>11</v>
      </c>
      <c r="F341">
        <v>6</v>
      </c>
      <c r="G341">
        <v>9798</v>
      </c>
      <c r="H341">
        <v>1264.55</v>
      </c>
    </row>
    <row r="342" spans="1:8" x14ac:dyDescent="0.3">
      <c r="A342" s="1">
        <v>45888</v>
      </c>
      <c r="B342" t="s">
        <v>234</v>
      </c>
      <c r="C342" t="s">
        <v>29</v>
      </c>
      <c r="D342" t="s">
        <v>52</v>
      </c>
      <c r="E342" t="s">
        <v>31</v>
      </c>
      <c r="F342">
        <v>9</v>
      </c>
      <c r="G342">
        <v>31419</v>
      </c>
      <c r="H342">
        <v>6921.7</v>
      </c>
    </row>
    <row r="343" spans="1:8" x14ac:dyDescent="0.3">
      <c r="A343" s="1">
        <v>45970</v>
      </c>
      <c r="B343" t="s">
        <v>235</v>
      </c>
      <c r="C343" t="s">
        <v>29</v>
      </c>
      <c r="D343" t="s">
        <v>10</v>
      </c>
      <c r="E343" t="s">
        <v>11</v>
      </c>
      <c r="F343">
        <v>3</v>
      </c>
      <c r="G343">
        <v>45504</v>
      </c>
      <c r="H343">
        <v>6687.43</v>
      </c>
    </row>
    <row r="344" spans="1:8" x14ac:dyDescent="0.3">
      <c r="A344" s="1">
        <v>45845</v>
      </c>
      <c r="B344" t="s">
        <v>197</v>
      </c>
      <c r="C344" t="s">
        <v>9</v>
      </c>
      <c r="D344" t="s">
        <v>52</v>
      </c>
      <c r="E344" t="s">
        <v>31</v>
      </c>
      <c r="F344">
        <v>3</v>
      </c>
      <c r="G344">
        <v>8490</v>
      </c>
      <c r="H344">
        <v>1548.73</v>
      </c>
    </row>
    <row r="345" spans="1:8" x14ac:dyDescent="0.3">
      <c r="A345" s="1">
        <v>45678</v>
      </c>
      <c r="B345" t="s">
        <v>192</v>
      </c>
      <c r="C345" t="s">
        <v>29</v>
      </c>
      <c r="D345" t="s">
        <v>54</v>
      </c>
      <c r="E345" t="s">
        <v>11</v>
      </c>
      <c r="F345">
        <v>1</v>
      </c>
      <c r="G345">
        <v>49490</v>
      </c>
      <c r="H345">
        <v>9962.86</v>
      </c>
    </row>
    <row r="346" spans="1:8" x14ac:dyDescent="0.3">
      <c r="A346" s="1">
        <v>45891</v>
      </c>
      <c r="B346" t="s">
        <v>212</v>
      </c>
      <c r="C346" t="s">
        <v>16</v>
      </c>
      <c r="D346" t="s">
        <v>36</v>
      </c>
      <c r="E346" t="s">
        <v>11</v>
      </c>
      <c r="F346">
        <v>10</v>
      </c>
      <c r="G346">
        <v>19450</v>
      </c>
      <c r="H346">
        <v>2640.42</v>
      </c>
    </row>
    <row r="347" spans="1:8" x14ac:dyDescent="0.3">
      <c r="A347" s="1">
        <v>45741</v>
      </c>
      <c r="B347" t="s">
        <v>135</v>
      </c>
      <c r="C347" t="s">
        <v>9</v>
      </c>
      <c r="D347" t="s">
        <v>47</v>
      </c>
      <c r="E347" t="s">
        <v>44</v>
      </c>
      <c r="F347">
        <v>10</v>
      </c>
      <c r="G347">
        <v>171130</v>
      </c>
      <c r="H347">
        <v>38203.46</v>
      </c>
    </row>
    <row r="348" spans="1:8" x14ac:dyDescent="0.3">
      <c r="A348" s="1">
        <v>45917</v>
      </c>
      <c r="B348" t="s">
        <v>236</v>
      </c>
      <c r="C348" t="s">
        <v>18</v>
      </c>
      <c r="D348" t="s">
        <v>56</v>
      </c>
      <c r="E348" t="s">
        <v>31</v>
      </c>
      <c r="F348">
        <v>9</v>
      </c>
      <c r="G348">
        <v>14310</v>
      </c>
      <c r="H348">
        <v>2336.4499999999998</v>
      </c>
    </row>
    <row r="349" spans="1:8" x14ac:dyDescent="0.3">
      <c r="A349" s="1">
        <v>45901</v>
      </c>
      <c r="B349" t="s">
        <v>95</v>
      </c>
      <c r="C349" t="s">
        <v>16</v>
      </c>
      <c r="D349" t="s">
        <v>56</v>
      </c>
      <c r="E349" t="s">
        <v>31</v>
      </c>
      <c r="F349">
        <v>1</v>
      </c>
      <c r="G349">
        <v>1254</v>
      </c>
      <c r="H349">
        <v>170.93</v>
      </c>
    </row>
    <row r="350" spans="1:8" x14ac:dyDescent="0.3">
      <c r="A350" s="1">
        <v>45956</v>
      </c>
      <c r="B350" t="s">
        <v>49</v>
      </c>
      <c r="C350" t="s">
        <v>9</v>
      </c>
      <c r="D350" t="s">
        <v>22</v>
      </c>
      <c r="E350" t="s">
        <v>11</v>
      </c>
      <c r="F350">
        <v>12</v>
      </c>
      <c r="G350">
        <v>20508</v>
      </c>
      <c r="H350">
        <v>3834.47</v>
      </c>
    </row>
    <row r="351" spans="1:8" x14ac:dyDescent="0.3">
      <c r="A351" s="1">
        <v>45793</v>
      </c>
      <c r="B351" t="s">
        <v>220</v>
      </c>
      <c r="C351" t="s">
        <v>9</v>
      </c>
      <c r="D351" t="s">
        <v>13</v>
      </c>
      <c r="E351" t="s">
        <v>14</v>
      </c>
      <c r="F351">
        <v>10</v>
      </c>
      <c r="G351">
        <v>30650</v>
      </c>
      <c r="H351">
        <v>3637.61</v>
      </c>
    </row>
    <row r="352" spans="1:8" x14ac:dyDescent="0.3">
      <c r="A352" s="1">
        <v>45903</v>
      </c>
      <c r="B352" t="s">
        <v>237</v>
      </c>
      <c r="C352" t="s">
        <v>29</v>
      </c>
      <c r="D352" t="s">
        <v>36</v>
      </c>
      <c r="E352" t="s">
        <v>11</v>
      </c>
      <c r="F352">
        <v>9</v>
      </c>
      <c r="G352">
        <v>35226</v>
      </c>
      <c r="H352">
        <v>3703.02</v>
      </c>
    </row>
    <row r="353" spans="1:8" x14ac:dyDescent="0.3">
      <c r="A353" s="1">
        <v>45951</v>
      </c>
      <c r="B353" t="s">
        <v>39</v>
      </c>
      <c r="C353" t="s">
        <v>18</v>
      </c>
      <c r="D353" t="s">
        <v>19</v>
      </c>
      <c r="E353" t="s">
        <v>20</v>
      </c>
      <c r="F353">
        <v>2</v>
      </c>
      <c r="G353">
        <v>990</v>
      </c>
      <c r="H353">
        <v>82.39</v>
      </c>
    </row>
    <row r="354" spans="1:8" x14ac:dyDescent="0.3">
      <c r="A354" s="1">
        <v>45735</v>
      </c>
      <c r="B354" t="s">
        <v>28</v>
      </c>
      <c r="C354" t="s">
        <v>16</v>
      </c>
      <c r="D354" t="s">
        <v>47</v>
      </c>
      <c r="E354" t="s">
        <v>44</v>
      </c>
      <c r="F354">
        <v>12</v>
      </c>
      <c r="G354">
        <v>100080</v>
      </c>
      <c r="H354">
        <v>14988.4</v>
      </c>
    </row>
    <row r="355" spans="1:8" x14ac:dyDescent="0.3">
      <c r="A355" s="1">
        <v>45899</v>
      </c>
      <c r="B355" t="s">
        <v>133</v>
      </c>
      <c r="C355" t="s">
        <v>16</v>
      </c>
      <c r="D355" t="s">
        <v>56</v>
      </c>
      <c r="E355" t="s">
        <v>31</v>
      </c>
      <c r="F355">
        <v>12</v>
      </c>
      <c r="G355">
        <v>7524</v>
      </c>
      <c r="H355">
        <v>1504.66</v>
      </c>
    </row>
    <row r="356" spans="1:8" x14ac:dyDescent="0.3">
      <c r="A356" s="1">
        <v>45945</v>
      </c>
      <c r="B356" t="s">
        <v>198</v>
      </c>
      <c r="C356" t="s">
        <v>29</v>
      </c>
      <c r="D356" t="s">
        <v>40</v>
      </c>
      <c r="E356" t="s">
        <v>11</v>
      </c>
      <c r="F356">
        <v>11</v>
      </c>
      <c r="G356">
        <v>260425</v>
      </c>
      <c r="H356">
        <v>44098.06</v>
      </c>
    </row>
    <row r="357" spans="1:8" x14ac:dyDescent="0.3">
      <c r="A357" s="1">
        <v>45893</v>
      </c>
      <c r="B357" t="s">
        <v>149</v>
      </c>
      <c r="C357" t="s">
        <v>18</v>
      </c>
      <c r="D357" t="s">
        <v>30</v>
      </c>
      <c r="E357" t="s">
        <v>31</v>
      </c>
      <c r="F357">
        <v>9</v>
      </c>
      <c r="G357">
        <v>23418</v>
      </c>
      <c r="H357">
        <v>4048.19</v>
      </c>
    </row>
    <row r="358" spans="1:8" x14ac:dyDescent="0.3">
      <c r="A358" s="1">
        <v>45905</v>
      </c>
      <c r="B358" t="s">
        <v>207</v>
      </c>
      <c r="C358" t="s">
        <v>16</v>
      </c>
      <c r="D358" t="s">
        <v>24</v>
      </c>
      <c r="E358" t="s">
        <v>11</v>
      </c>
      <c r="F358">
        <v>4</v>
      </c>
      <c r="G358">
        <v>4284</v>
      </c>
      <c r="H358">
        <v>749.16</v>
      </c>
    </row>
    <row r="359" spans="1:8" x14ac:dyDescent="0.3">
      <c r="A359" s="1">
        <v>45805</v>
      </c>
      <c r="B359" t="s">
        <v>238</v>
      </c>
      <c r="C359" t="s">
        <v>18</v>
      </c>
      <c r="D359" t="s">
        <v>19</v>
      </c>
      <c r="E359" t="s">
        <v>20</v>
      </c>
      <c r="F359">
        <v>4</v>
      </c>
      <c r="G359">
        <v>4024</v>
      </c>
      <c r="H359">
        <v>804.19</v>
      </c>
    </row>
    <row r="360" spans="1:8" x14ac:dyDescent="0.3">
      <c r="A360" s="1">
        <v>45836</v>
      </c>
      <c r="B360" t="s">
        <v>144</v>
      </c>
      <c r="C360" t="s">
        <v>16</v>
      </c>
      <c r="D360" t="s">
        <v>62</v>
      </c>
      <c r="E360" t="s">
        <v>27</v>
      </c>
      <c r="F360">
        <v>12</v>
      </c>
      <c r="G360">
        <v>1440</v>
      </c>
      <c r="H360">
        <v>185.65</v>
      </c>
    </row>
    <row r="361" spans="1:8" x14ac:dyDescent="0.3">
      <c r="A361" s="1">
        <v>45936</v>
      </c>
      <c r="B361" t="s">
        <v>88</v>
      </c>
      <c r="C361" t="s">
        <v>29</v>
      </c>
      <c r="D361" t="s">
        <v>47</v>
      </c>
      <c r="E361" t="s">
        <v>44</v>
      </c>
      <c r="F361">
        <v>7</v>
      </c>
      <c r="G361">
        <v>74578</v>
      </c>
      <c r="H361">
        <v>18069.02</v>
      </c>
    </row>
    <row r="362" spans="1:8" x14ac:dyDescent="0.3">
      <c r="A362" s="1">
        <v>45679</v>
      </c>
      <c r="B362" t="s">
        <v>33</v>
      </c>
      <c r="C362" t="s">
        <v>35</v>
      </c>
      <c r="D362" t="s">
        <v>22</v>
      </c>
      <c r="E362" t="s">
        <v>11</v>
      </c>
      <c r="F362">
        <v>12</v>
      </c>
      <c r="G362">
        <v>5532</v>
      </c>
      <c r="H362">
        <v>768.29</v>
      </c>
    </row>
    <row r="363" spans="1:8" x14ac:dyDescent="0.3">
      <c r="A363" s="1">
        <v>45789</v>
      </c>
      <c r="B363" t="s">
        <v>239</v>
      </c>
      <c r="C363" t="s">
        <v>16</v>
      </c>
      <c r="D363" t="s">
        <v>19</v>
      </c>
      <c r="E363" t="s">
        <v>20</v>
      </c>
      <c r="F363">
        <v>8</v>
      </c>
      <c r="G363">
        <v>4152</v>
      </c>
      <c r="H363">
        <v>474.79</v>
      </c>
    </row>
    <row r="364" spans="1:8" x14ac:dyDescent="0.3">
      <c r="A364" s="1">
        <v>45945</v>
      </c>
      <c r="B364" t="s">
        <v>180</v>
      </c>
      <c r="C364" t="s">
        <v>9</v>
      </c>
      <c r="D364" t="s">
        <v>19</v>
      </c>
      <c r="E364" t="s">
        <v>20</v>
      </c>
      <c r="F364">
        <v>5</v>
      </c>
      <c r="G364">
        <v>2200</v>
      </c>
      <c r="H364">
        <v>216.85</v>
      </c>
    </row>
    <row r="365" spans="1:8" x14ac:dyDescent="0.3">
      <c r="A365" s="1">
        <v>45782</v>
      </c>
      <c r="B365" t="s">
        <v>237</v>
      </c>
      <c r="C365" t="s">
        <v>9</v>
      </c>
      <c r="D365" t="s">
        <v>54</v>
      </c>
      <c r="E365" t="s">
        <v>11</v>
      </c>
      <c r="F365">
        <v>11</v>
      </c>
      <c r="G365">
        <v>686411</v>
      </c>
      <c r="H365">
        <v>81246.48</v>
      </c>
    </row>
    <row r="366" spans="1:8" x14ac:dyDescent="0.3">
      <c r="A366" s="1">
        <v>45709</v>
      </c>
      <c r="B366" t="s">
        <v>106</v>
      </c>
      <c r="C366" t="s">
        <v>35</v>
      </c>
      <c r="D366" t="s">
        <v>47</v>
      </c>
      <c r="E366" t="s">
        <v>44</v>
      </c>
      <c r="F366">
        <v>6</v>
      </c>
      <c r="G366">
        <v>100518</v>
      </c>
      <c r="H366">
        <v>16113.91</v>
      </c>
    </row>
    <row r="367" spans="1:8" x14ac:dyDescent="0.3">
      <c r="A367" s="1">
        <v>45939</v>
      </c>
      <c r="B367" t="s">
        <v>112</v>
      </c>
      <c r="C367" t="s">
        <v>16</v>
      </c>
      <c r="D367" t="s">
        <v>30</v>
      </c>
      <c r="E367" t="s">
        <v>31</v>
      </c>
      <c r="F367">
        <v>3</v>
      </c>
      <c r="G367">
        <v>8598</v>
      </c>
      <c r="H367">
        <v>1642.15</v>
      </c>
    </row>
    <row r="368" spans="1:8" x14ac:dyDescent="0.3">
      <c r="A368" s="1">
        <v>45991</v>
      </c>
      <c r="B368" t="s">
        <v>170</v>
      </c>
      <c r="C368" t="s">
        <v>9</v>
      </c>
      <c r="D368" t="s">
        <v>24</v>
      </c>
      <c r="E368" t="s">
        <v>11</v>
      </c>
      <c r="F368">
        <v>5</v>
      </c>
      <c r="G368">
        <v>5785</v>
      </c>
      <c r="H368">
        <v>743.49</v>
      </c>
    </row>
    <row r="369" spans="1:8" x14ac:dyDescent="0.3">
      <c r="A369" s="1">
        <v>45703</v>
      </c>
      <c r="B369" t="s">
        <v>170</v>
      </c>
      <c r="C369" t="s">
        <v>9</v>
      </c>
      <c r="D369" t="s">
        <v>13</v>
      </c>
      <c r="E369" t="s">
        <v>14</v>
      </c>
      <c r="F369">
        <v>10</v>
      </c>
      <c r="G369">
        <v>16510</v>
      </c>
      <c r="H369">
        <v>2822.81</v>
      </c>
    </row>
    <row r="370" spans="1:8" x14ac:dyDescent="0.3">
      <c r="A370" s="1">
        <v>45747</v>
      </c>
      <c r="B370" t="s">
        <v>240</v>
      </c>
      <c r="C370" t="s">
        <v>16</v>
      </c>
      <c r="D370" t="s">
        <v>47</v>
      </c>
      <c r="E370" t="s">
        <v>44</v>
      </c>
      <c r="F370">
        <v>3</v>
      </c>
      <c r="G370">
        <v>16785</v>
      </c>
      <c r="H370">
        <v>4188.18</v>
      </c>
    </row>
    <row r="371" spans="1:8" x14ac:dyDescent="0.3">
      <c r="A371" s="1">
        <v>45911</v>
      </c>
      <c r="B371" t="s">
        <v>241</v>
      </c>
      <c r="C371" t="s">
        <v>18</v>
      </c>
      <c r="D371" t="s">
        <v>36</v>
      </c>
      <c r="E371" t="s">
        <v>11</v>
      </c>
      <c r="F371">
        <v>12</v>
      </c>
      <c r="G371">
        <v>38052</v>
      </c>
      <c r="H371">
        <v>8715.67</v>
      </c>
    </row>
    <row r="372" spans="1:8" x14ac:dyDescent="0.3">
      <c r="A372" s="1">
        <v>45948</v>
      </c>
      <c r="B372" t="s">
        <v>242</v>
      </c>
      <c r="C372" t="s">
        <v>16</v>
      </c>
      <c r="D372" t="s">
        <v>26</v>
      </c>
      <c r="E372" t="s">
        <v>27</v>
      </c>
      <c r="F372">
        <v>2</v>
      </c>
      <c r="G372">
        <v>330</v>
      </c>
      <c r="H372">
        <v>42.36</v>
      </c>
    </row>
    <row r="373" spans="1:8" x14ac:dyDescent="0.3">
      <c r="A373" s="1">
        <v>45910</v>
      </c>
      <c r="B373" t="s">
        <v>243</v>
      </c>
      <c r="C373" t="s">
        <v>18</v>
      </c>
      <c r="D373" t="s">
        <v>30</v>
      </c>
      <c r="E373" t="s">
        <v>31</v>
      </c>
      <c r="F373">
        <v>3</v>
      </c>
      <c r="G373">
        <v>9795</v>
      </c>
      <c r="H373">
        <v>1562.92</v>
      </c>
    </row>
    <row r="374" spans="1:8" x14ac:dyDescent="0.3">
      <c r="A374" s="1">
        <v>45715</v>
      </c>
      <c r="B374" t="s">
        <v>244</v>
      </c>
      <c r="C374" t="s">
        <v>35</v>
      </c>
      <c r="D374" t="s">
        <v>40</v>
      </c>
      <c r="E374" t="s">
        <v>11</v>
      </c>
      <c r="F374">
        <v>3</v>
      </c>
      <c r="G374">
        <v>69111</v>
      </c>
      <c r="H374">
        <v>13145.5</v>
      </c>
    </row>
    <row r="375" spans="1:8" x14ac:dyDescent="0.3">
      <c r="A375" s="1">
        <v>45830</v>
      </c>
      <c r="B375" t="s">
        <v>245</v>
      </c>
      <c r="C375" t="s">
        <v>29</v>
      </c>
      <c r="D375" t="s">
        <v>52</v>
      </c>
      <c r="E375" t="s">
        <v>31</v>
      </c>
      <c r="F375">
        <v>5</v>
      </c>
      <c r="G375">
        <v>29255</v>
      </c>
      <c r="H375">
        <v>5694.43</v>
      </c>
    </row>
    <row r="376" spans="1:8" x14ac:dyDescent="0.3">
      <c r="A376" s="1">
        <v>45970</v>
      </c>
      <c r="B376" t="s">
        <v>81</v>
      </c>
      <c r="C376" t="s">
        <v>35</v>
      </c>
      <c r="D376" t="s">
        <v>56</v>
      </c>
      <c r="E376" t="s">
        <v>31</v>
      </c>
      <c r="F376">
        <v>11</v>
      </c>
      <c r="G376">
        <v>14630</v>
      </c>
      <c r="H376">
        <v>3227.21</v>
      </c>
    </row>
    <row r="377" spans="1:8" x14ac:dyDescent="0.3">
      <c r="A377" s="1">
        <v>45702</v>
      </c>
      <c r="B377" t="s">
        <v>157</v>
      </c>
      <c r="C377" t="s">
        <v>29</v>
      </c>
      <c r="D377" t="s">
        <v>47</v>
      </c>
      <c r="E377" t="s">
        <v>44</v>
      </c>
      <c r="F377">
        <v>11</v>
      </c>
      <c r="G377">
        <v>72182</v>
      </c>
      <c r="H377">
        <v>8042</v>
      </c>
    </row>
    <row r="378" spans="1:8" x14ac:dyDescent="0.3">
      <c r="A378" s="1">
        <v>45823</v>
      </c>
      <c r="B378" t="s">
        <v>17</v>
      </c>
      <c r="C378" t="s">
        <v>9</v>
      </c>
      <c r="D378" t="s">
        <v>30</v>
      </c>
      <c r="E378" t="s">
        <v>31</v>
      </c>
      <c r="F378">
        <v>4</v>
      </c>
      <c r="G378">
        <v>4908</v>
      </c>
      <c r="H378">
        <v>610.23</v>
      </c>
    </row>
    <row r="379" spans="1:8" x14ac:dyDescent="0.3">
      <c r="A379" s="1">
        <v>45794</v>
      </c>
      <c r="B379" t="s">
        <v>246</v>
      </c>
      <c r="C379" t="s">
        <v>9</v>
      </c>
      <c r="D379" t="s">
        <v>40</v>
      </c>
      <c r="E379" t="s">
        <v>11</v>
      </c>
      <c r="F379">
        <v>5</v>
      </c>
      <c r="G379">
        <v>41870</v>
      </c>
      <c r="H379">
        <v>5211.3100000000004</v>
      </c>
    </row>
    <row r="380" spans="1:8" x14ac:dyDescent="0.3">
      <c r="A380" s="1">
        <v>45778</v>
      </c>
      <c r="B380" t="s">
        <v>247</v>
      </c>
      <c r="C380" t="s">
        <v>9</v>
      </c>
      <c r="D380" t="s">
        <v>54</v>
      </c>
      <c r="E380" t="s">
        <v>11</v>
      </c>
      <c r="F380">
        <v>11</v>
      </c>
      <c r="G380">
        <v>537603</v>
      </c>
      <c r="H380">
        <v>85541.86</v>
      </c>
    </row>
    <row r="381" spans="1:8" x14ac:dyDescent="0.3">
      <c r="A381" s="1">
        <v>46009</v>
      </c>
      <c r="B381" t="s">
        <v>50</v>
      </c>
      <c r="C381" t="s">
        <v>18</v>
      </c>
      <c r="D381" t="s">
        <v>62</v>
      </c>
      <c r="E381" t="s">
        <v>27</v>
      </c>
      <c r="F381">
        <v>12</v>
      </c>
      <c r="G381">
        <v>2964</v>
      </c>
      <c r="H381">
        <v>393.82</v>
      </c>
    </row>
    <row r="382" spans="1:8" x14ac:dyDescent="0.3">
      <c r="A382" s="1">
        <v>45809</v>
      </c>
      <c r="B382" t="s">
        <v>157</v>
      </c>
      <c r="C382" t="s">
        <v>29</v>
      </c>
      <c r="D382" t="s">
        <v>40</v>
      </c>
      <c r="E382" t="s">
        <v>11</v>
      </c>
      <c r="F382">
        <v>10</v>
      </c>
      <c r="G382">
        <v>152360</v>
      </c>
      <c r="H382">
        <v>17864.490000000002</v>
      </c>
    </row>
    <row r="383" spans="1:8" x14ac:dyDescent="0.3">
      <c r="A383" s="1">
        <v>45736</v>
      </c>
      <c r="B383" t="s">
        <v>248</v>
      </c>
      <c r="C383" t="s">
        <v>9</v>
      </c>
      <c r="D383" t="s">
        <v>43</v>
      </c>
      <c r="E383" t="s">
        <v>44</v>
      </c>
      <c r="F383">
        <v>12</v>
      </c>
      <c r="G383">
        <v>167088</v>
      </c>
      <c r="H383">
        <v>23979.84</v>
      </c>
    </row>
    <row r="384" spans="1:8" x14ac:dyDescent="0.3">
      <c r="A384" s="1">
        <v>45899</v>
      </c>
      <c r="B384" t="s">
        <v>166</v>
      </c>
      <c r="C384" t="s">
        <v>16</v>
      </c>
      <c r="D384" t="s">
        <v>52</v>
      </c>
      <c r="E384" t="s">
        <v>31</v>
      </c>
      <c r="F384">
        <v>9</v>
      </c>
      <c r="G384">
        <v>26901</v>
      </c>
      <c r="H384">
        <v>5636.19</v>
      </c>
    </row>
    <row r="385" spans="1:8" x14ac:dyDescent="0.3">
      <c r="A385" s="1">
        <v>45699</v>
      </c>
      <c r="B385" t="s">
        <v>173</v>
      </c>
      <c r="C385" t="s">
        <v>29</v>
      </c>
      <c r="D385" t="s">
        <v>62</v>
      </c>
      <c r="E385" t="s">
        <v>27</v>
      </c>
      <c r="F385">
        <v>8</v>
      </c>
      <c r="G385">
        <v>1480</v>
      </c>
      <c r="H385">
        <v>295.47000000000003</v>
      </c>
    </row>
    <row r="386" spans="1:8" x14ac:dyDescent="0.3">
      <c r="A386" s="1">
        <v>45946</v>
      </c>
      <c r="B386" t="s">
        <v>223</v>
      </c>
      <c r="C386" t="s">
        <v>29</v>
      </c>
      <c r="D386" t="s">
        <v>10</v>
      </c>
      <c r="E386" t="s">
        <v>11</v>
      </c>
      <c r="F386">
        <v>1</v>
      </c>
      <c r="G386">
        <v>29945</v>
      </c>
      <c r="H386">
        <v>6991.89</v>
      </c>
    </row>
    <row r="387" spans="1:8" x14ac:dyDescent="0.3">
      <c r="A387" s="1">
        <v>45932</v>
      </c>
      <c r="B387" t="s">
        <v>143</v>
      </c>
      <c r="C387" t="s">
        <v>18</v>
      </c>
      <c r="D387" t="s">
        <v>36</v>
      </c>
      <c r="E387" t="s">
        <v>11</v>
      </c>
      <c r="F387">
        <v>3</v>
      </c>
      <c r="G387">
        <v>10461</v>
      </c>
      <c r="H387">
        <v>2356.4699999999998</v>
      </c>
    </row>
    <row r="388" spans="1:8" x14ac:dyDescent="0.3">
      <c r="A388" s="1">
        <v>46006</v>
      </c>
      <c r="B388" t="s">
        <v>110</v>
      </c>
      <c r="C388" t="s">
        <v>35</v>
      </c>
      <c r="D388" t="s">
        <v>24</v>
      </c>
      <c r="E388" t="s">
        <v>11</v>
      </c>
      <c r="F388">
        <v>12</v>
      </c>
      <c r="G388">
        <v>20328</v>
      </c>
      <c r="H388">
        <v>3315.51</v>
      </c>
    </row>
    <row r="389" spans="1:8" x14ac:dyDescent="0.3">
      <c r="A389" s="1">
        <v>45686</v>
      </c>
      <c r="B389" t="s">
        <v>228</v>
      </c>
      <c r="C389" t="s">
        <v>18</v>
      </c>
      <c r="D389" t="s">
        <v>43</v>
      </c>
      <c r="E389" t="s">
        <v>44</v>
      </c>
      <c r="F389">
        <v>3</v>
      </c>
      <c r="G389">
        <v>37227</v>
      </c>
      <c r="H389">
        <v>5607.21</v>
      </c>
    </row>
    <row r="390" spans="1:8" x14ac:dyDescent="0.3">
      <c r="A390" s="1">
        <v>45944</v>
      </c>
      <c r="B390" t="s">
        <v>249</v>
      </c>
      <c r="C390" t="s">
        <v>9</v>
      </c>
      <c r="D390" t="s">
        <v>43</v>
      </c>
      <c r="E390" t="s">
        <v>44</v>
      </c>
      <c r="F390">
        <v>11</v>
      </c>
      <c r="G390">
        <v>99539</v>
      </c>
      <c r="H390">
        <v>20202.2</v>
      </c>
    </row>
    <row r="391" spans="1:8" x14ac:dyDescent="0.3">
      <c r="A391" s="1">
        <v>45659</v>
      </c>
      <c r="B391" t="s">
        <v>115</v>
      </c>
      <c r="C391" t="s">
        <v>16</v>
      </c>
      <c r="D391" t="s">
        <v>19</v>
      </c>
      <c r="E391" t="s">
        <v>20</v>
      </c>
      <c r="F391">
        <v>4</v>
      </c>
      <c r="G391">
        <v>3568</v>
      </c>
      <c r="H391">
        <v>329.74</v>
      </c>
    </row>
    <row r="392" spans="1:8" x14ac:dyDescent="0.3">
      <c r="A392" s="1">
        <v>46016</v>
      </c>
      <c r="B392" t="s">
        <v>173</v>
      </c>
      <c r="C392" t="s">
        <v>16</v>
      </c>
      <c r="D392" t="s">
        <v>10</v>
      </c>
      <c r="E392" t="s">
        <v>11</v>
      </c>
      <c r="F392">
        <v>9</v>
      </c>
      <c r="G392">
        <v>125766</v>
      </c>
      <c r="H392">
        <v>30042.87</v>
      </c>
    </row>
    <row r="393" spans="1:8" x14ac:dyDescent="0.3">
      <c r="A393" s="1">
        <v>45899</v>
      </c>
      <c r="B393" t="s">
        <v>174</v>
      </c>
      <c r="C393" t="s">
        <v>9</v>
      </c>
      <c r="D393" t="s">
        <v>54</v>
      </c>
      <c r="E393" t="s">
        <v>11</v>
      </c>
      <c r="F393">
        <v>5</v>
      </c>
      <c r="G393">
        <v>291985</v>
      </c>
      <c r="H393">
        <v>32292.61</v>
      </c>
    </row>
    <row r="394" spans="1:8" x14ac:dyDescent="0.3">
      <c r="A394" s="1">
        <v>45986</v>
      </c>
      <c r="B394" t="s">
        <v>108</v>
      </c>
      <c r="C394" t="s">
        <v>16</v>
      </c>
      <c r="D394" t="s">
        <v>19</v>
      </c>
      <c r="E394" t="s">
        <v>20</v>
      </c>
      <c r="F394">
        <v>11</v>
      </c>
      <c r="G394">
        <v>8030</v>
      </c>
      <c r="H394">
        <v>1153.58</v>
      </c>
    </row>
    <row r="395" spans="1:8" x14ac:dyDescent="0.3">
      <c r="A395" s="1">
        <v>45851</v>
      </c>
      <c r="B395" t="s">
        <v>139</v>
      </c>
      <c r="C395" t="s">
        <v>18</v>
      </c>
      <c r="D395" t="s">
        <v>47</v>
      </c>
      <c r="E395" t="s">
        <v>44</v>
      </c>
      <c r="F395">
        <v>2</v>
      </c>
      <c r="G395">
        <v>32370</v>
      </c>
      <c r="H395">
        <v>7895.19</v>
      </c>
    </row>
    <row r="396" spans="1:8" x14ac:dyDescent="0.3">
      <c r="A396" s="1">
        <v>45992</v>
      </c>
      <c r="B396" t="s">
        <v>156</v>
      </c>
      <c r="C396" t="s">
        <v>18</v>
      </c>
      <c r="D396" t="s">
        <v>56</v>
      </c>
      <c r="E396" t="s">
        <v>31</v>
      </c>
      <c r="F396">
        <v>6</v>
      </c>
      <c r="G396">
        <v>4452</v>
      </c>
      <c r="H396">
        <v>491.24</v>
      </c>
    </row>
    <row r="397" spans="1:8" x14ac:dyDescent="0.3">
      <c r="A397" s="1">
        <v>45928</v>
      </c>
      <c r="B397" t="s">
        <v>241</v>
      </c>
      <c r="C397" t="s">
        <v>9</v>
      </c>
      <c r="D397" t="s">
        <v>36</v>
      </c>
      <c r="E397" t="s">
        <v>11</v>
      </c>
      <c r="F397">
        <v>12</v>
      </c>
      <c r="G397">
        <v>31488</v>
      </c>
      <c r="H397">
        <v>6987.81</v>
      </c>
    </row>
    <row r="398" spans="1:8" x14ac:dyDescent="0.3">
      <c r="A398" s="1">
        <v>45895</v>
      </c>
      <c r="B398" t="s">
        <v>152</v>
      </c>
      <c r="C398" t="s">
        <v>16</v>
      </c>
      <c r="D398" t="s">
        <v>13</v>
      </c>
      <c r="E398" t="s">
        <v>14</v>
      </c>
      <c r="F398">
        <v>12</v>
      </c>
      <c r="G398">
        <v>35160</v>
      </c>
      <c r="H398">
        <v>5347.9</v>
      </c>
    </row>
    <row r="399" spans="1:8" x14ac:dyDescent="0.3">
      <c r="A399" s="1">
        <v>45775</v>
      </c>
      <c r="B399" t="s">
        <v>250</v>
      </c>
      <c r="C399" t="s">
        <v>29</v>
      </c>
      <c r="D399" t="s">
        <v>24</v>
      </c>
      <c r="E399" t="s">
        <v>11</v>
      </c>
      <c r="F399">
        <v>8</v>
      </c>
      <c r="G399">
        <v>9664</v>
      </c>
      <c r="H399">
        <v>1027.97</v>
      </c>
    </row>
    <row r="400" spans="1:8" x14ac:dyDescent="0.3">
      <c r="A400" s="1">
        <v>45715</v>
      </c>
      <c r="B400" t="s">
        <v>251</v>
      </c>
      <c r="C400" t="s">
        <v>35</v>
      </c>
      <c r="D400" t="s">
        <v>54</v>
      </c>
      <c r="E400" t="s">
        <v>11</v>
      </c>
      <c r="F400">
        <v>11</v>
      </c>
      <c r="G400">
        <v>646107</v>
      </c>
      <c r="H400">
        <v>119230.61</v>
      </c>
    </row>
    <row r="401" spans="1:8" x14ac:dyDescent="0.3">
      <c r="A401" s="1">
        <v>45763</v>
      </c>
      <c r="B401" t="s">
        <v>234</v>
      </c>
      <c r="C401" t="s">
        <v>29</v>
      </c>
      <c r="D401" t="s">
        <v>10</v>
      </c>
      <c r="E401" t="s">
        <v>11</v>
      </c>
      <c r="F401">
        <v>2</v>
      </c>
      <c r="G401">
        <v>62924</v>
      </c>
      <c r="H401">
        <v>5393.09</v>
      </c>
    </row>
    <row r="402" spans="1:8" x14ac:dyDescent="0.3">
      <c r="A402" s="1">
        <v>46018</v>
      </c>
      <c r="B402" t="s">
        <v>108</v>
      </c>
      <c r="C402" t="s">
        <v>18</v>
      </c>
      <c r="D402" t="s">
        <v>56</v>
      </c>
      <c r="E402" t="s">
        <v>31</v>
      </c>
      <c r="F402">
        <v>1</v>
      </c>
      <c r="G402">
        <v>1001</v>
      </c>
      <c r="H402">
        <v>206.1</v>
      </c>
    </row>
    <row r="403" spans="1:8" x14ac:dyDescent="0.3">
      <c r="A403" s="1">
        <v>45777</v>
      </c>
      <c r="B403" t="s">
        <v>74</v>
      </c>
      <c r="C403" t="s">
        <v>18</v>
      </c>
      <c r="D403" t="s">
        <v>62</v>
      </c>
      <c r="E403" t="s">
        <v>27</v>
      </c>
      <c r="F403">
        <v>4</v>
      </c>
      <c r="G403">
        <v>972</v>
      </c>
      <c r="H403">
        <v>220.48</v>
      </c>
    </row>
    <row r="404" spans="1:8" x14ac:dyDescent="0.3">
      <c r="A404" s="1">
        <v>45915</v>
      </c>
      <c r="B404" t="s">
        <v>159</v>
      </c>
      <c r="C404" t="s">
        <v>18</v>
      </c>
      <c r="D404" t="s">
        <v>22</v>
      </c>
      <c r="E404" t="s">
        <v>11</v>
      </c>
      <c r="F404">
        <v>4</v>
      </c>
      <c r="G404">
        <v>7192</v>
      </c>
      <c r="H404">
        <v>1279.74</v>
      </c>
    </row>
    <row r="405" spans="1:8" x14ac:dyDescent="0.3">
      <c r="A405" s="1">
        <v>46002</v>
      </c>
      <c r="B405" t="s">
        <v>60</v>
      </c>
      <c r="C405" t="s">
        <v>18</v>
      </c>
      <c r="D405" t="s">
        <v>56</v>
      </c>
      <c r="E405" t="s">
        <v>31</v>
      </c>
      <c r="F405">
        <v>6</v>
      </c>
      <c r="G405">
        <v>5910</v>
      </c>
      <c r="H405">
        <v>775.98</v>
      </c>
    </row>
    <row r="406" spans="1:8" x14ac:dyDescent="0.3">
      <c r="A406" s="1">
        <v>45924</v>
      </c>
      <c r="B406" t="s">
        <v>252</v>
      </c>
      <c r="C406" t="s">
        <v>35</v>
      </c>
      <c r="D406" t="s">
        <v>24</v>
      </c>
      <c r="E406" t="s">
        <v>11</v>
      </c>
      <c r="F406">
        <v>7</v>
      </c>
      <c r="G406">
        <v>7805</v>
      </c>
      <c r="H406">
        <v>989.49</v>
      </c>
    </row>
    <row r="407" spans="1:8" x14ac:dyDescent="0.3">
      <c r="A407" s="1">
        <v>45747</v>
      </c>
      <c r="B407" t="s">
        <v>214</v>
      </c>
      <c r="C407" t="s">
        <v>9</v>
      </c>
      <c r="D407" t="s">
        <v>13</v>
      </c>
      <c r="E407" t="s">
        <v>14</v>
      </c>
      <c r="F407">
        <v>11</v>
      </c>
      <c r="G407">
        <v>26939</v>
      </c>
      <c r="H407">
        <v>4700.71</v>
      </c>
    </row>
    <row r="408" spans="1:8" x14ac:dyDescent="0.3">
      <c r="A408" s="1">
        <v>45987</v>
      </c>
      <c r="B408" t="s">
        <v>116</v>
      </c>
      <c r="C408" t="s">
        <v>18</v>
      </c>
      <c r="D408" t="s">
        <v>13</v>
      </c>
      <c r="E408" t="s">
        <v>14</v>
      </c>
      <c r="F408">
        <v>7</v>
      </c>
      <c r="G408">
        <v>19936</v>
      </c>
      <c r="H408">
        <v>2675.11</v>
      </c>
    </row>
    <row r="409" spans="1:8" x14ac:dyDescent="0.3">
      <c r="A409" s="1">
        <v>45734</v>
      </c>
      <c r="B409" t="s">
        <v>67</v>
      </c>
      <c r="C409" t="s">
        <v>16</v>
      </c>
      <c r="D409" t="s">
        <v>22</v>
      </c>
      <c r="E409" t="s">
        <v>11</v>
      </c>
      <c r="F409">
        <v>7</v>
      </c>
      <c r="G409">
        <v>4732</v>
      </c>
      <c r="H409">
        <v>985.44</v>
      </c>
    </row>
    <row r="410" spans="1:8" x14ac:dyDescent="0.3">
      <c r="A410" s="1">
        <v>45773</v>
      </c>
      <c r="B410" t="s">
        <v>253</v>
      </c>
      <c r="C410" t="s">
        <v>35</v>
      </c>
      <c r="D410" t="s">
        <v>22</v>
      </c>
      <c r="E410" t="s">
        <v>11</v>
      </c>
      <c r="F410">
        <v>12</v>
      </c>
      <c r="G410">
        <v>7140</v>
      </c>
      <c r="H410">
        <v>1549.25</v>
      </c>
    </row>
    <row r="411" spans="1:8" x14ac:dyDescent="0.3">
      <c r="A411" s="1">
        <v>45869</v>
      </c>
      <c r="B411" t="s">
        <v>207</v>
      </c>
      <c r="C411" t="s">
        <v>18</v>
      </c>
      <c r="D411" t="s">
        <v>47</v>
      </c>
      <c r="E411" t="s">
        <v>44</v>
      </c>
      <c r="F411">
        <v>9</v>
      </c>
      <c r="G411">
        <v>123147</v>
      </c>
      <c r="H411">
        <v>12658.99</v>
      </c>
    </row>
    <row r="412" spans="1:8" x14ac:dyDescent="0.3">
      <c r="A412" s="1">
        <v>45762</v>
      </c>
      <c r="B412" t="s">
        <v>196</v>
      </c>
      <c r="C412" t="s">
        <v>16</v>
      </c>
      <c r="D412" t="s">
        <v>40</v>
      </c>
      <c r="E412" t="s">
        <v>11</v>
      </c>
      <c r="F412">
        <v>11</v>
      </c>
      <c r="G412">
        <v>116490</v>
      </c>
      <c r="H412">
        <v>27582.32</v>
      </c>
    </row>
    <row r="413" spans="1:8" x14ac:dyDescent="0.3">
      <c r="A413" s="1">
        <v>45932</v>
      </c>
      <c r="B413" t="s">
        <v>188</v>
      </c>
      <c r="C413" t="s">
        <v>18</v>
      </c>
      <c r="D413" t="s">
        <v>19</v>
      </c>
      <c r="E413" t="s">
        <v>20</v>
      </c>
      <c r="F413">
        <v>4</v>
      </c>
      <c r="G413">
        <v>1408</v>
      </c>
      <c r="H413">
        <v>176.9</v>
      </c>
    </row>
    <row r="414" spans="1:8" x14ac:dyDescent="0.3">
      <c r="A414" s="1">
        <v>45678</v>
      </c>
      <c r="B414" t="s">
        <v>254</v>
      </c>
      <c r="C414" t="s">
        <v>9</v>
      </c>
      <c r="D414" t="s">
        <v>56</v>
      </c>
      <c r="E414" t="s">
        <v>31</v>
      </c>
      <c r="F414">
        <v>2</v>
      </c>
      <c r="G414">
        <v>1770</v>
      </c>
      <c r="H414">
        <v>383.72</v>
      </c>
    </row>
    <row r="415" spans="1:8" x14ac:dyDescent="0.3">
      <c r="A415" s="1">
        <v>46001</v>
      </c>
      <c r="B415" t="s">
        <v>21</v>
      </c>
      <c r="C415" t="s">
        <v>35</v>
      </c>
      <c r="D415" t="s">
        <v>62</v>
      </c>
      <c r="E415" t="s">
        <v>27</v>
      </c>
      <c r="F415">
        <v>4</v>
      </c>
      <c r="G415">
        <v>688</v>
      </c>
      <c r="H415">
        <v>79.47</v>
      </c>
    </row>
    <row r="416" spans="1:8" x14ac:dyDescent="0.3">
      <c r="A416" s="1">
        <v>45665</v>
      </c>
      <c r="B416" t="s">
        <v>255</v>
      </c>
      <c r="C416" t="s">
        <v>9</v>
      </c>
      <c r="D416" t="s">
        <v>24</v>
      </c>
      <c r="E416" t="s">
        <v>11</v>
      </c>
      <c r="F416">
        <v>4</v>
      </c>
      <c r="G416">
        <v>9880</v>
      </c>
      <c r="H416">
        <v>2035.78</v>
      </c>
    </row>
    <row r="417" spans="1:8" x14ac:dyDescent="0.3">
      <c r="A417" s="1">
        <v>45782</v>
      </c>
      <c r="B417" t="s">
        <v>256</v>
      </c>
      <c r="C417" t="s">
        <v>35</v>
      </c>
      <c r="D417" t="s">
        <v>19</v>
      </c>
      <c r="E417" t="s">
        <v>20</v>
      </c>
      <c r="F417">
        <v>10</v>
      </c>
      <c r="G417">
        <v>10200</v>
      </c>
      <c r="H417">
        <v>1170.6300000000001</v>
      </c>
    </row>
    <row r="418" spans="1:8" x14ac:dyDescent="0.3">
      <c r="A418" s="1">
        <v>45822</v>
      </c>
      <c r="B418" t="s">
        <v>85</v>
      </c>
      <c r="C418" t="s">
        <v>18</v>
      </c>
      <c r="D418" t="s">
        <v>52</v>
      </c>
      <c r="E418" t="s">
        <v>31</v>
      </c>
      <c r="F418">
        <v>5</v>
      </c>
      <c r="G418">
        <v>21590</v>
      </c>
      <c r="H418">
        <v>3438.48</v>
      </c>
    </row>
    <row r="419" spans="1:8" x14ac:dyDescent="0.3">
      <c r="A419" s="1">
        <v>45791</v>
      </c>
      <c r="B419" t="s">
        <v>68</v>
      </c>
      <c r="C419" t="s">
        <v>18</v>
      </c>
      <c r="D419" t="s">
        <v>40</v>
      </c>
      <c r="E419" t="s">
        <v>11</v>
      </c>
      <c r="F419">
        <v>9</v>
      </c>
      <c r="G419">
        <v>218646</v>
      </c>
      <c r="H419">
        <v>34812.97</v>
      </c>
    </row>
    <row r="420" spans="1:8" x14ac:dyDescent="0.3">
      <c r="A420" s="1">
        <v>45821</v>
      </c>
      <c r="B420" t="s">
        <v>220</v>
      </c>
      <c r="C420" t="s">
        <v>35</v>
      </c>
      <c r="D420" t="s">
        <v>30</v>
      </c>
      <c r="E420" t="s">
        <v>31</v>
      </c>
      <c r="F420">
        <v>4</v>
      </c>
      <c r="G420">
        <v>10872</v>
      </c>
      <c r="H420">
        <v>1448.11</v>
      </c>
    </row>
    <row r="421" spans="1:8" x14ac:dyDescent="0.3">
      <c r="A421" s="1">
        <v>45771</v>
      </c>
      <c r="B421" t="s">
        <v>159</v>
      </c>
      <c r="C421" t="s">
        <v>16</v>
      </c>
      <c r="D421" t="s">
        <v>19</v>
      </c>
      <c r="E421" t="s">
        <v>20</v>
      </c>
      <c r="F421">
        <v>3</v>
      </c>
      <c r="G421">
        <v>948</v>
      </c>
      <c r="H421">
        <v>117.87</v>
      </c>
    </row>
    <row r="422" spans="1:8" x14ac:dyDescent="0.3">
      <c r="A422" s="1">
        <v>45871</v>
      </c>
      <c r="B422" t="s">
        <v>257</v>
      </c>
      <c r="C422" t="s">
        <v>16</v>
      </c>
      <c r="D422" t="s">
        <v>22</v>
      </c>
      <c r="E422" t="s">
        <v>11</v>
      </c>
      <c r="F422">
        <v>3</v>
      </c>
      <c r="G422">
        <v>2103</v>
      </c>
      <c r="H422">
        <v>286.17</v>
      </c>
    </row>
    <row r="423" spans="1:8" x14ac:dyDescent="0.3">
      <c r="A423" s="1">
        <v>45783</v>
      </c>
      <c r="B423" t="s">
        <v>21</v>
      </c>
      <c r="C423" t="s">
        <v>18</v>
      </c>
      <c r="D423" t="s">
        <v>43</v>
      </c>
      <c r="E423" t="s">
        <v>44</v>
      </c>
      <c r="F423">
        <v>9</v>
      </c>
      <c r="G423">
        <v>132525</v>
      </c>
      <c r="H423">
        <v>31857.55</v>
      </c>
    </row>
    <row r="424" spans="1:8" x14ac:dyDescent="0.3">
      <c r="A424" s="1">
        <v>45908</v>
      </c>
      <c r="B424" t="s">
        <v>206</v>
      </c>
      <c r="C424" t="s">
        <v>18</v>
      </c>
      <c r="D424" t="s">
        <v>19</v>
      </c>
      <c r="E424" t="s">
        <v>20</v>
      </c>
      <c r="F424">
        <v>11</v>
      </c>
      <c r="G424">
        <v>11627</v>
      </c>
      <c r="H424">
        <v>1899.87</v>
      </c>
    </row>
    <row r="425" spans="1:8" x14ac:dyDescent="0.3">
      <c r="A425" s="1">
        <v>45838</v>
      </c>
      <c r="B425" t="s">
        <v>226</v>
      </c>
      <c r="C425" t="s">
        <v>9</v>
      </c>
      <c r="D425" t="s">
        <v>36</v>
      </c>
      <c r="E425" t="s">
        <v>11</v>
      </c>
      <c r="F425">
        <v>3</v>
      </c>
      <c r="G425">
        <v>14400</v>
      </c>
      <c r="H425">
        <v>1602.55</v>
      </c>
    </row>
    <row r="426" spans="1:8" x14ac:dyDescent="0.3">
      <c r="A426" s="1">
        <v>45688</v>
      </c>
      <c r="B426" t="s">
        <v>215</v>
      </c>
      <c r="C426" t="s">
        <v>18</v>
      </c>
      <c r="D426" t="s">
        <v>62</v>
      </c>
      <c r="E426" t="s">
        <v>27</v>
      </c>
      <c r="F426">
        <v>1</v>
      </c>
      <c r="G426">
        <v>69</v>
      </c>
      <c r="H426">
        <v>16.61</v>
      </c>
    </row>
    <row r="427" spans="1:8" x14ac:dyDescent="0.3">
      <c r="A427" s="1">
        <v>45661</v>
      </c>
      <c r="B427" t="s">
        <v>106</v>
      </c>
      <c r="C427" t="s">
        <v>35</v>
      </c>
      <c r="D427" t="s">
        <v>47</v>
      </c>
      <c r="E427" t="s">
        <v>44</v>
      </c>
      <c r="F427">
        <v>3</v>
      </c>
      <c r="G427">
        <v>45999</v>
      </c>
      <c r="H427">
        <v>5489.69</v>
      </c>
    </row>
    <row r="428" spans="1:8" x14ac:dyDescent="0.3">
      <c r="A428" s="1">
        <v>45769</v>
      </c>
      <c r="B428" t="s">
        <v>28</v>
      </c>
      <c r="C428" t="s">
        <v>16</v>
      </c>
      <c r="D428" t="s">
        <v>62</v>
      </c>
      <c r="E428" t="s">
        <v>27</v>
      </c>
      <c r="F428">
        <v>8</v>
      </c>
      <c r="G428">
        <v>1160</v>
      </c>
      <c r="H428">
        <v>104.72</v>
      </c>
    </row>
    <row r="429" spans="1:8" x14ac:dyDescent="0.3">
      <c r="A429" s="1">
        <v>45905</v>
      </c>
      <c r="B429" t="s">
        <v>156</v>
      </c>
      <c r="C429" t="s">
        <v>16</v>
      </c>
      <c r="D429" t="s">
        <v>13</v>
      </c>
      <c r="E429" t="s">
        <v>14</v>
      </c>
      <c r="F429">
        <v>8</v>
      </c>
      <c r="G429">
        <v>6112</v>
      </c>
      <c r="H429">
        <v>495.83</v>
      </c>
    </row>
    <row r="430" spans="1:8" x14ac:dyDescent="0.3">
      <c r="A430" s="1">
        <v>45664</v>
      </c>
      <c r="B430" t="s">
        <v>142</v>
      </c>
      <c r="C430" t="s">
        <v>9</v>
      </c>
      <c r="D430" t="s">
        <v>54</v>
      </c>
      <c r="E430" t="s">
        <v>11</v>
      </c>
      <c r="F430">
        <v>9</v>
      </c>
      <c r="G430">
        <v>486018</v>
      </c>
      <c r="H430">
        <v>83145.759999999995</v>
      </c>
    </row>
    <row r="431" spans="1:8" x14ac:dyDescent="0.3">
      <c r="A431" s="1">
        <v>45915</v>
      </c>
      <c r="B431" t="s">
        <v>258</v>
      </c>
      <c r="C431" t="s">
        <v>16</v>
      </c>
      <c r="D431" t="s">
        <v>56</v>
      </c>
      <c r="E431" t="s">
        <v>31</v>
      </c>
      <c r="F431">
        <v>12</v>
      </c>
      <c r="G431">
        <v>16572</v>
      </c>
      <c r="H431">
        <v>3596.93</v>
      </c>
    </row>
    <row r="432" spans="1:8" x14ac:dyDescent="0.3">
      <c r="A432" s="1">
        <v>45707</v>
      </c>
      <c r="B432" t="s">
        <v>184</v>
      </c>
      <c r="C432" t="s">
        <v>16</v>
      </c>
      <c r="D432" t="s">
        <v>62</v>
      </c>
      <c r="E432" t="s">
        <v>27</v>
      </c>
      <c r="F432">
        <v>3</v>
      </c>
      <c r="G432">
        <v>333</v>
      </c>
      <c r="H432">
        <v>37.51</v>
      </c>
    </row>
    <row r="433" spans="1:8" x14ac:dyDescent="0.3">
      <c r="A433" s="1">
        <v>45839</v>
      </c>
      <c r="B433" t="s">
        <v>108</v>
      </c>
      <c r="C433" t="s">
        <v>29</v>
      </c>
      <c r="D433" t="s">
        <v>22</v>
      </c>
      <c r="E433" t="s">
        <v>11</v>
      </c>
      <c r="F433">
        <v>7</v>
      </c>
      <c r="G433">
        <v>3227</v>
      </c>
      <c r="H433">
        <v>462.81</v>
      </c>
    </row>
    <row r="434" spans="1:8" x14ac:dyDescent="0.3">
      <c r="A434" s="1">
        <v>45947</v>
      </c>
      <c r="B434" t="s">
        <v>79</v>
      </c>
      <c r="C434" t="s">
        <v>35</v>
      </c>
      <c r="D434" t="s">
        <v>24</v>
      </c>
      <c r="E434" t="s">
        <v>11</v>
      </c>
      <c r="F434">
        <v>12</v>
      </c>
      <c r="G434">
        <v>11544</v>
      </c>
      <c r="H434">
        <v>1512.21</v>
      </c>
    </row>
    <row r="435" spans="1:8" x14ac:dyDescent="0.3">
      <c r="A435" s="1">
        <v>45990</v>
      </c>
      <c r="B435" t="s">
        <v>197</v>
      </c>
      <c r="C435" t="s">
        <v>29</v>
      </c>
      <c r="D435" t="s">
        <v>52</v>
      </c>
      <c r="E435" t="s">
        <v>31</v>
      </c>
      <c r="F435">
        <v>1</v>
      </c>
      <c r="G435">
        <v>1965</v>
      </c>
      <c r="H435">
        <v>292.58</v>
      </c>
    </row>
    <row r="436" spans="1:8" x14ac:dyDescent="0.3">
      <c r="A436" s="1">
        <v>45901</v>
      </c>
      <c r="B436" t="s">
        <v>107</v>
      </c>
      <c r="C436" t="s">
        <v>16</v>
      </c>
      <c r="D436" t="s">
        <v>54</v>
      </c>
      <c r="E436" t="s">
        <v>11</v>
      </c>
      <c r="F436">
        <v>11</v>
      </c>
      <c r="G436">
        <v>498399</v>
      </c>
      <c r="H436">
        <v>99422.46</v>
      </c>
    </row>
    <row r="437" spans="1:8" x14ac:dyDescent="0.3">
      <c r="A437" s="1">
        <v>45880</v>
      </c>
      <c r="B437" t="s">
        <v>87</v>
      </c>
      <c r="C437" t="s">
        <v>9</v>
      </c>
      <c r="D437" t="s">
        <v>13</v>
      </c>
      <c r="E437" t="s">
        <v>14</v>
      </c>
      <c r="F437">
        <v>6</v>
      </c>
      <c r="G437">
        <v>18102</v>
      </c>
      <c r="H437">
        <v>4455.7299999999996</v>
      </c>
    </row>
    <row r="438" spans="1:8" x14ac:dyDescent="0.3">
      <c r="A438" s="1">
        <v>45928</v>
      </c>
      <c r="B438" t="s">
        <v>208</v>
      </c>
      <c r="C438" t="s">
        <v>9</v>
      </c>
      <c r="D438" t="s">
        <v>30</v>
      </c>
      <c r="E438" t="s">
        <v>31</v>
      </c>
      <c r="F438">
        <v>1</v>
      </c>
      <c r="G438">
        <v>2141</v>
      </c>
      <c r="H438">
        <v>248.23</v>
      </c>
    </row>
    <row r="439" spans="1:8" x14ac:dyDescent="0.3">
      <c r="A439" s="1">
        <v>45796</v>
      </c>
      <c r="B439" t="s">
        <v>144</v>
      </c>
      <c r="C439" t="s">
        <v>16</v>
      </c>
      <c r="D439" t="s">
        <v>54</v>
      </c>
      <c r="E439" t="s">
        <v>11</v>
      </c>
      <c r="F439">
        <v>2</v>
      </c>
      <c r="G439">
        <v>108374</v>
      </c>
      <c r="H439">
        <v>25238.46</v>
      </c>
    </row>
    <row r="440" spans="1:8" x14ac:dyDescent="0.3">
      <c r="A440" s="1">
        <v>45674</v>
      </c>
      <c r="B440" t="s">
        <v>167</v>
      </c>
      <c r="C440" t="s">
        <v>18</v>
      </c>
      <c r="D440" t="s">
        <v>36</v>
      </c>
      <c r="E440" t="s">
        <v>11</v>
      </c>
      <c r="F440">
        <v>6</v>
      </c>
      <c r="G440">
        <v>5568</v>
      </c>
      <c r="H440">
        <v>1355.53</v>
      </c>
    </row>
    <row r="441" spans="1:8" x14ac:dyDescent="0.3">
      <c r="A441" s="1">
        <v>46022</v>
      </c>
      <c r="B441" t="s">
        <v>180</v>
      </c>
      <c r="C441" t="s">
        <v>29</v>
      </c>
      <c r="D441" t="s">
        <v>56</v>
      </c>
      <c r="E441" t="s">
        <v>31</v>
      </c>
      <c r="F441">
        <v>7</v>
      </c>
      <c r="G441">
        <v>4599</v>
      </c>
      <c r="H441">
        <v>601.9</v>
      </c>
    </row>
    <row r="442" spans="1:8" x14ac:dyDescent="0.3">
      <c r="A442" s="1">
        <v>45948</v>
      </c>
      <c r="B442" t="s">
        <v>174</v>
      </c>
      <c r="C442" t="s">
        <v>16</v>
      </c>
      <c r="D442" t="s">
        <v>56</v>
      </c>
      <c r="E442" t="s">
        <v>31</v>
      </c>
      <c r="F442">
        <v>7</v>
      </c>
      <c r="G442">
        <v>11249</v>
      </c>
      <c r="H442">
        <v>1534.3</v>
      </c>
    </row>
    <row r="443" spans="1:8" x14ac:dyDescent="0.3">
      <c r="A443" s="1">
        <v>46010</v>
      </c>
      <c r="B443" t="s">
        <v>189</v>
      </c>
      <c r="C443" t="s">
        <v>9</v>
      </c>
      <c r="D443" t="s">
        <v>19</v>
      </c>
      <c r="E443" t="s">
        <v>20</v>
      </c>
      <c r="F443">
        <v>2</v>
      </c>
      <c r="G443">
        <v>1624</v>
      </c>
      <c r="H443">
        <v>335.73</v>
      </c>
    </row>
    <row r="444" spans="1:8" x14ac:dyDescent="0.3">
      <c r="A444" s="1">
        <v>45708</v>
      </c>
      <c r="B444" t="s">
        <v>188</v>
      </c>
      <c r="C444" t="s">
        <v>9</v>
      </c>
      <c r="D444" t="s">
        <v>47</v>
      </c>
      <c r="E444" t="s">
        <v>44</v>
      </c>
      <c r="F444">
        <v>4</v>
      </c>
      <c r="G444">
        <v>24980</v>
      </c>
      <c r="H444">
        <v>3444.76</v>
      </c>
    </row>
    <row r="445" spans="1:8" x14ac:dyDescent="0.3">
      <c r="A445" s="1">
        <v>45861</v>
      </c>
      <c r="B445" t="s">
        <v>103</v>
      </c>
      <c r="C445" t="s">
        <v>29</v>
      </c>
      <c r="D445" t="s">
        <v>52</v>
      </c>
      <c r="E445" t="s">
        <v>31</v>
      </c>
      <c r="F445">
        <v>6</v>
      </c>
      <c r="G445">
        <v>8652</v>
      </c>
      <c r="H445">
        <v>1624.85</v>
      </c>
    </row>
    <row r="446" spans="1:8" x14ac:dyDescent="0.3">
      <c r="A446" s="1">
        <v>45774</v>
      </c>
      <c r="B446" t="s">
        <v>144</v>
      </c>
      <c r="C446" t="s">
        <v>35</v>
      </c>
      <c r="D446" t="s">
        <v>40</v>
      </c>
      <c r="E446" t="s">
        <v>11</v>
      </c>
      <c r="F446">
        <v>9</v>
      </c>
      <c r="G446">
        <v>182709</v>
      </c>
      <c r="H446">
        <v>28030.15</v>
      </c>
    </row>
    <row r="447" spans="1:8" x14ac:dyDescent="0.3">
      <c r="A447" s="1">
        <v>45852</v>
      </c>
      <c r="B447" t="s">
        <v>59</v>
      </c>
      <c r="C447" t="s">
        <v>16</v>
      </c>
      <c r="D447" t="s">
        <v>10</v>
      </c>
      <c r="E447" t="s">
        <v>11</v>
      </c>
      <c r="F447">
        <v>10</v>
      </c>
      <c r="G447">
        <v>216780</v>
      </c>
      <c r="H447">
        <v>46752.81</v>
      </c>
    </row>
    <row r="448" spans="1:8" x14ac:dyDescent="0.3">
      <c r="A448" s="1">
        <v>45795</v>
      </c>
      <c r="B448" t="s">
        <v>259</v>
      </c>
      <c r="C448" t="s">
        <v>16</v>
      </c>
      <c r="D448" t="s">
        <v>36</v>
      </c>
      <c r="E448" t="s">
        <v>11</v>
      </c>
      <c r="F448">
        <v>7</v>
      </c>
      <c r="G448">
        <v>14441</v>
      </c>
      <c r="H448">
        <v>2971.11</v>
      </c>
    </row>
    <row r="449" spans="1:8" x14ac:dyDescent="0.3">
      <c r="A449" s="1">
        <v>45712</v>
      </c>
      <c r="B449" t="s">
        <v>260</v>
      </c>
      <c r="C449" t="s">
        <v>35</v>
      </c>
      <c r="D449" t="s">
        <v>10</v>
      </c>
      <c r="E449" t="s">
        <v>11</v>
      </c>
      <c r="F449">
        <v>1</v>
      </c>
      <c r="G449">
        <v>22101</v>
      </c>
      <c r="H449">
        <v>3439.03</v>
      </c>
    </row>
    <row r="450" spans="1:8" x14ac:dyDescent="0.3">
      <c r="A450" s="1">
        <v>45725</v>
      </c>
      <c r="B450" t="s">
        <v>242</v>
      </c>
      <c r="C450" t="s">
        <v>29</v>
      </c>
      <c r="D450" t="s">
        <v>10</v>
      </c>
      <c r="E450" t="s">
        <v>11</v>
      </c>
      <c r="F450">
        <v>3</v>
      </c>
      <c r="G450">
        <v>78366</v>
      </c>
      <c r="H450">
        <v>12248.87</v>
      </c>
    </row>
    <row r="451" spans="1:8" x14ac:dyDescent="0.3">
      <c r="A451" s="1">
        <v>45866</v>
      </c>
      <c r="B451" t="s">
        <v>148</v>
      </c>
      <c r="C451" t="s">
        <v>29</v>
      </c>
      <c r="D451" t="s">
        <v>10</v>
      </c>
      <c r="E451" t="s">
        <v>11</v>
      </c>
      <c r="F451">
        <v>1</v>
      </c>
      <c r="G451">
        <v>14936</v>
      </c>
      <c r="H451">
        <v>2093.5100000000002</v>
      </c>
    </row>
    <row r="452" spans="1:8" x14ac:dyDescent="0.3">
      <c r="A452" s="1">
        <v>45964</v>
      </c>
      <c r="B452" t="s">
        <v>116</v>
      </c>
      <c r="C452" t="s">
        <v>9</v>
      </c>
      <c r="D452" t="s">
        <v>52</v>
      </c>
      <c r="E452" t="s">
        <v>31</v>
      </c>
      <c r="F452">
        <v>6</v>
      </c>
      <c r="G452">
        <v>26130</v>
      </c>
      <c r="H452">
        <v>2145.2199999999998</v>
      </c>
    </row>
    <row r="453" spans="1:8" x14ac:dyDescent="0.3">
      <c r="A453" s="1">
        <v>45701</v>
      </c>
      <c r="B453" t="s">
        <v>104</v>
      </c>
      <c r="C453" t="s">
        <v>35</v>
      </c>
      <c r="D453" t="s">
        <v>19</v>
      </c>
      <c r="E453" t="s">
        <v>20</v>
      </c>
      <c r="F453">
        <v>9</v>
      </c>
      <c r="G453">
        <v>4932</v>
      </c>
      <c r="H453">
        <v>874.11</v>
      </c>
    </row>
    <row r="454" spans="1:8" x14ac:dyDescent="0.3">
      <c r="A454" s="1">
        <v>45852</v>
      </c>
      <c r="B454" t="s">
        <v>76</v>
      </c>
      <c r="C454" t="s">
        <v>29</v>
      </c>
      <c r="D454" t="s">
        <v>36</v>
      </c>
      <c r="E454" t="s">
        <v>11</v>
      </c>
      <c r="F454">
        <v>3</v>
      </c>
      <c r="G454">
        <v>9006</v>
      </c>
      <c r="H454">
        <v>1181.52</v>
      </c>
    </row>
    <row r="455" spans="1:8" x14ac:dyDescent="0.3">
      <c r="A455" s="1">
        <v>45690</v>
      </c>
      <c r="B455" t="s">
        <v>68</v>
      </c>
      <c r="C455" t="s">
        <v>18</v>
      </c>
      <c r="D455" t="s">
        <v>36</v>
      </c>
      <c r="E455" t="s">
        <v>11</v>
      </c>
      <c r="F455">
        <v>7</v>
      </c>
      <c r="G455">
        <v>21420</v>
      </c>
      <c r="H455">
        <v>3247</v>
      </c>
    </row>
    <row r="456" spans="1:8" x14ac:dyDescent="0.3">
      <c r="A456" s="1">
        <v>45697</v>
      </c>
      <c r="B456" t="s">
        <v>191</v>
      </c>
      <c r="C456" t="s">
        <v>16</v>
      </c>
      <c r="D456" t="s">
        <v>40</v>
      </c>
      <c r="E456" t="s">
        <v>11</v>
      </c>
      <c r="F456">
        <v>5</v>
      </c>
      <c r="G456">
        <v>80400</v>
      </c>
      <c r="H456">
        <v>16285.25</v>
      </c>
    </row>
    <row r="457" spans="1:8" x14ac:dyDescent="0.3">
      <c r="A457" s="1">
        <v>45973</v>
      </c>
      <c r="B457" t="s">
        <v>210</v>
      </c>
      <c r="C457" t="s">
        <v>9</v>
      </c>
      <c r="D457" t="s">
        <v>24</v>
      </c>
      <c r="E457" t="s">
        <v>11</v>
      </c>
      <c r="F457">
        <v>8</v>
      </c>
      <c r="G457">
        <v>5752</v>
      </c>
      <c r="H457">
        <v>592.65</v>
      </c>
    </row>
    <row r="458" spans="1:8" x14ac:dyDescent="0.3">
      <c r="A458" s="1">
        <v>45828</v>
      </c>
      <c r="B458" t="s">
        <v>238</v>
      </c>
      <c r="C458" t="s">
        <v>35</v>
      </c>
      <c r="D458" t="s">
        <v>56</v>
      </c>
      <c r="E458" t="s">
        <v>31</v>
      </c>
      <c r="F458">
        <v>10</v>
      </c>
      <c r="G458">
        <v>12780</v>
      </c>
      <c r="H458">
        <v>2769.34</v>
      </c>
    </row>
    <row r="459" spans="1:8" x14ac:dyDescent="0.3">
      <c r="A459" s="1">
        <v>45829</v>
      </c>
      <c r="B459" t="s">
        <v>261</v>
      </c>
      <c r="C459" t="s">
        <v>9</v>
      </c>
      <c r="D459" t="s">
        <v>47</v>
      </c>
      <c r="E459" t="s">
        <v>44</v>
      </c>
      <c r="F459">
        <v>11</v>
      </c>
      <c r="G459">
        <v>162118</v>
      </c>
      <c r="H459">
        <v>16721.04</v>
      </c>
    </row>
    <row r="460" spans="1:8" x14ac:dyDescent="0.3">
      <c r="A460" s="1">
        <v>46013</v>
      </c>
      <c r="B460" t="s">
        <v>131</v>
      </c>
      <c r="C460" t="s">
        <v>29</v>
      </c>
      <c r="D460" t="s">
        <v>24</v>
      </c>
      <c r="E460" t="s">
        <v>11</v>
      </c>
      <c r="F460">
        <v>8</v>
      </c>
      <c r="G460">
        <v>9144</v>
      </c>
      <c r="H460">
        <v>1007.65</v>
      </c>
    </row>
    <row r="461" spans="1:8" x14ac:dyDescent="0.3">
      <c r="A461" s="1">
        <v>45807</v>
      </c>
      <c r="B461" t="s">
        <v>126</v>
      </c>
      <c r="C461" t="s">
        <v>29</v>
      </c>
      <c r="D461" t="s">
        <v>19</v>
      </c>
      <c r="E461" t="s">
        <v>20</v>
      </c>
      <c r="F461">
        <v>12</v>
      </c>
      <c r="G461">
        <v>11376</v>
      </c>
      <c r="H461">
        <v>1859.65</v>
      </c>
    </row>
    <row r="462" spans="1:8" x14ac:dyDescent="0.3">
      <c r="A462" s="1">
        <v>45782</v>
      </c>
      <c r="B462" t="s">
        <v>131</v>
      </c>
      <c r="C462" t="s">
        <v>18</v>
      </c>
      <c r="D462" t="s">
        <v>40</v>
      </c>
      <c r="E462" t="s">
        <v>11</v>
      </c>
      <c r="F462">
        <v>7</v>
      </c>
      <c r="G462">
        <v>120288</v>
      </c>
      <c r="H462">
        <v>26319.5</v>
      </c>
    </row>
    <row r="463" spans="1:8" x14ac:dyDescent="0.3">
      <c r="A463" s="1">
        <v>45716</v>
      </c>
      <c r="B463" t="s">
        <v>139</v>
      </c>
      <c r="C463" t="s">
        <v>16</v>
      </c>
      <c r="D463" t="s">
        <v>30</v>
      </c>
      <c r="E463" t="s">
        <v>31</v>
      </c>
      <c r="F463">
        <v>10</v>
      </c>
      <c r="G463">
        <v>20180</v>
      </c>
      <c r="H463">
        <v>3646.09</v>
      </c>
    </row>
    <row r="464" spans="1:8" x14ac:dyDescent="0.3">
      <c r="A464" s="1">
        <v>46007</v>
      </c>
      <c r="B464" t="s">
        <v>262</v>
      </c>
      <c r="C464" t="s">
        <v>35</v>
      </c>
      <c r="D464" t="s">
        <v>52</v>
      </c>
      <c r="E464" t="s">
        <v>31</v>
      </c>
      <c r="F464">
        <v>9</v>
      </c>
      <c r="G464">
        <v>12780</v>
      </c>
      <c r="H464">
        <v>3092.9</v>
      </c>
    </row>
    <row r="465" spans="1:8" x14ac:dyDescent="0.3">
      <c r="A465" s="1">
        <v>45765</v>
      </c>
      <c r="B465" t="s">
        <v>263</v>
      </c>
      <c r="C465" t="s">
        <v>9</v>
      </c>
      <c r="D465" t="s">
        <v>43</v>
      </c>
      <c r="E465" t="s">
        <v>44</v>
      </c>
      <c r="F465">
        <v>5</v>
      </c>
      <c r="G465">
        <v>25665</v>
      </c>
      <c r="H465">
        <v>5626.39</v>
      </c>
    </row>
    <row r="466" spans="1:8" x14ac:dyDescent="0.3">
      <c r="A466" s="1">
        <v>45913</v>
      </c>
      <c r="B466" t="s">
        <v>8</v>
      </c>
      <c r="C466" t="s">
        <v>16</v>
      </c>
      <c r="D466" t="s">
        <v>36</v>
      </c>
      <c r="E466" t="s">
        <v>11</v>
      </c>
      <c r="F466">
        <v>11</v>
      </c>
      <c r="G466">
        <v>36080</v>
      </c>
      <c r="H466">
        <v>4370.8599999999997</v>
      </c>
    </row>
    <row r="467" spans="1:8" x14ac:dyDescent="0.3">
      <c r="A467" s="1">
        <v>45874</v>
      </c>
      <c r="B467" t="s">
        <v>49</v>
      </c>
      <c r="C467" t="s">
        <v>29</v>
      </c>
      <c r="D467" t="s">
        <v>52</v>
      </c>
      <c r="E467" t="s">
        <v>31</v>
      </c>
      <c r="F467">
        <v>7</v>
      </c>
      <c r="G467">
        <v>12635</v>
      </c>
      <c r="H467">
        <v>1975.37</v>
      </c>
    </row>
    <row r="468" spans="1:8" x14ac:dyDescent="0.3">
      <c r="A468" s="1">
        <v>45956</v>
      </c>
      <c r="B468" t="s">
        <v>117</v>
      </c>
      <c r="C468" t="s">
        <v>16</v>
      </c>
      <c r="D468" t="s">
        <v>47</v>
      </c>
      <c r="E468" t="s">
        <v>44</v>
      </c>
      <c r="F468">
        <v>9</v>
      </c>
      <c r="G468">
        <v>119700</v>
      </c>
      <c r="H468">
        <v>28368.22</v>
      </c>
    </row>
    <row r="469" spans="1:8" x14ac:dyDescent="0.3">
      <c r="A469" s="1">
        <v>45676</v>
      </c>
      <c r="B469" t="s">
        <v>59</v>
      </c>
      <c r="C469" t="s">
        <v>9</v>
      </c>
      <c r="D469" t="s">
        <v>52</v>
      </c>
      <c r="E469" t="s">
        <v>31</v>
      </c>
      <c r="F469">
        <v>6</v>
      </c>
      <c r="G469">
        <v>33588</v>
      </c>
      <c r="H469">
        <v>6077.73</v>
      </c>
    </row>
    <row r="470" spans="1:8" x14ac:dyDescent="0.3">
      <c r="A470" s="1">
        <v>45785</v>
      </c>
      <c r="B470" t="s">
        <v>80</v>
      </c>
      <c r="C470" t="s">
        <v>16</v>
      </c>
      <c r="D470" t="s">
        <v>13</v>
      </c>
      <c r="E470" t="s">
        <v>14</v>
      </c>
      <c r="F470">
        <v>11</v>
      </c>
      <c r="G470">
        <v>23694</v>
      </c>
      <c r="H470">
        <v>2565.5300000000002</v>
      </c>
    </row>
    <row r="471" spans="1:8" x14ac:dyDescent="0.3">
      <c r="A471" s="1">
        <v>45946</v>
      </c>
      <c r="B471" t="s">
        <v>176</v>
      </c>
      <c r="C471" t="s">
        <v>29</v>
      </c>
      <c r="D471" t="s">
        <v>13</v>
      </c>
      <c r="E471" t="s">
        <v>14</v>
      </c>
      <c r="F471">
        <v>11</v>
      </c>
      <c r="G471">
        <v>36839</v>
      </c>
      <c r="H471">
        <v>5449.78</v>
      </c>
    </row>
    <row r="472" spans="1:8" x14ac:dyDescent="0.3">
      <c r="A472" s="1">
        <v>45878</v>
      </c>
      <c r="B472" t="s">
        <v>264</v>
      </c>
      <c r="C472" t="s">
        <v>16</v>
      </c>
      <c r="D472" t="s">
        <v>10</v>
      </c>
      <c r="E472" t="s">
        <v>11</v>
      </c>
      <c r="F472">
        <v>1</v>
      </c>
      <c r="G472">
        <v>15231</v>
      </c>
      <c r="H472">
        <v>1888.42</v>
      </c>
    </row>
    <row r="473" spans="1:8" x14ac:dyDescent="0.3">
      <c r="A473" s="1">
        <v>45923</v>
      </c>
      <c r="B473" t="s">
        <v>96</v>
      </c>
      <c r="C473" t="s">
        <v>35</v>
      </c>
      <c r="D473" t="s">
        <v>62</v>
      </c>
      <c r="E473" t="s">
        <v>27</v>
      </c>
      <c r="F473">
        <v>10</v>
      </c>
      <c r="G473">
        <v>2260</v>
      </c>
      <c r="H473">
        <v>401.81</v>
      </c>
    </row>
    <row r="474" spans="1:8" x14ac:dyDescent="0.3">
      <c r="A474" s="1">
        <v>45858</v>
      </c>
      <c r="B474" t="s">
        <v>265</v>
      </c>
      <c r="C474" t="s">
        <v>16</v>
      </c>
      <c r="D474" t="s">
        <v>43</v>
      </c>
      <c r="E474" t="s">
        <v>44</v>
      </c>
      <c r="F474">
        <v>11</v>
      </c>
      <c r="G474">
        <v>150073</v>
      </c>
      <c r="H474">
        <v>29620.560000000001</v>
      </c>
    </row>
    <row r="475" spans="1:8" x14ac:dyDescent="0.3">
      <c r="A475" s="1">
        <v>45670</v>
      </c>
      <c r="B475" t="s">
        <v>59</v>
      </c>
      <c r="C475" t="s">
        <v>35</v>
      </c>
      <c r="D475" t="s">
        <v>43</v>
      </c>
      <c r="E475" t="s">
        <v>44</v>
      </c>
      <c r="F475">
        <v>2</v>
      </c>
      <c r="G475">
        <v>17680</v>
      </c>
      <c r="H475">
        <v>2664.66</v>
      </c>
    </row>
    <row r="476" spans="1:8" x14ac:dyDescent="0.3">
      <c r="A476" s="1">
        <v>45730</v>
      </c>
      <c r="B476" t="s">
        <v>84</v>
      </c>
      <c r="C476" t="s">
        <v>16</v>
      </c>
      <c r="D476" t="s">
        <v>40</v>
      </c>
      <c r="E476" t="s">
        <v>11</v>
      </c>
      <c r="F476">
        <v>5</v>
      </c>
      <c r="G476">
        <v>96205</v>
      </c>
      <c r="H476">
        <v>15143.3</v>
      </c>
    </row>
    <row r="477" spans="1:8" x14ac:dyDescent="0.3">
      <c r="A477" s="1">
        <v>45905</v>
      </c>
      <c r="B477" t="s">
        <v>96</v>
      </c>
      <c r="C477" t="s">
        <v>29</v>
      </c>
      <c r="D477" t="s">
        <v>40</v>
      </c>
      <c r="E477" t="s">
        <v>11</v>
      </c>
      <c r="F477">
        <v>8</v>
      </c>
      <c r="G477">
        <v>89584</v>
      </c>
      <c r="H477">
        <v>13839.67</v>
      </c>
    </row>
    <row r="478" spans="1:8" x14ac:dyDescent="0.3">
      <c r="A478" s="1">
        <v>45692</v>
      </c>
      <c r="B478" t="s">
        <v>224</v>
      </c>
      <c r="C478" t="s">
        <v>18</v>
      </c>
      <c r="D478" t="s">
        <v>22</v>
      </c>
      <c r="E478" t="s">
        <v>11</v>
      </c>
      <c r="F478">
        <v>1</v>
      </c>
      <c r="G478">
        <v>1755</v>
      </c>
      <c r="H478">
        <v>174.74</v>
      </c>
    </row>
    <row r="479" spans="1:8" x14ac:dyDescent="0.3">
      <c r="A479" s="1">
        <v>45713</v>
      </c>
      <c r="B479" t="s">
        <v>139</v>
      </c>
      <c r="C479" t="s">
        <v>18</v>
      </c>
      <c r="D479" t="s">
        <v>13</v>
      </c>
      <c r="E479" t="s">
        <v>14</v>
      </c>
      <c r="F479">
        <v>3</v>
      </c>
      <c r="G479">
        <v>5097</v>
      </c>
      <c r="H479">
        <v>854.86</v>
      </c>
    </row>
    <row r="480" spans="1:8" x14ac:dyDescent="0.3">
      <c r="A480" s="1">
        <v>45827</v>
      </c>
      <c r="B480" t="s">
        <v>63</v>
      </c>
      <c r="C480" t="s">
        <v>35</v>
      </c>
      <c r="D480" t="s">
        <v>62</v>
      </c>
      <c r="E480" t="s">
        <v>27</v>
      </c>
      <c r="F480">
        <v>7</v>
      </c>
      <c r="G480">
        <v>1176</v>
      </c>
      <c r="H480">
        <v>140.43</v>
      </c>
    </row>
    <row r="481" spans="1:8" x14ac:dyDescent="0.3">
      <c r="A481" s="1">
        <v>45752</v>
      </c>
      <c r="B481" t="s">
        <v>28</v>
      </c>
      <c r="C481" t="s">
        <v>35</v>
      </c>
      <c r="D481" t="s">
        <v>36</v>
      </c>
      <c r="E481" t="s">
        <v>11</v>
      </c>
      <c r="F481">
        <v>11</v>
      </c>
      <c r="G481">
        <v>47740</v>
      </c>
      <c r="H481">
        <v>7029.67</v>
      </c>
    </row>
    <row r="482" spans="1:8" x14ac:dyDescent="0.3">
      <c r="A482" s="1">
        <v>45759</v>
      </c>
      <c r="B482" t="s">
        <v>266</v>
      </c>
      <c r="C482" t="s">
        <v>18</v>
      </c>
      <c r="D482" t="s">
        <v>43</v>
      </c>
      <c r="E482" t="s">
        <v>44</v>
      </c>
      <c r="F482">
        <v>10</v>
      </c>
      <c r="G482">
        <v>110370</v>
      </c>
      <c r="H482">
        <v>16125.29</v>
      </c>
    </row>
    <row r="483" spans="1:8" x14ac:dyDescent="0.3">
      <c r="A483" s="1">
        <v>45800</v>
      </c>
      <c r="B483" t="s">
        <v>139</v>
      </c>
      <c r="C483" t="s">
        <v>29</v>
      </c>
      <c r="D483" t="s">
        <v>52</v>
      </c>
      <c r="E483" t="s">
        <v>31</v>
      </c>
      <c r="F483">
        <v>12</v>
      </c>
      <c r="G483">
        <v>20544</v>
      </c>
      <c r="H483">
        <v>3659.9</v>
      </c>
    </row>
    <row r="484" spans="1:8" x14ac:dyDescent="0.3">
      <c r="A484" s="1">
        <v>45845</v>
      </c>
      <c r="B484" t="s">
        <v>192</v>
      </c>
      <c r="C484" t="s">
        <v>29</v>
      </c>
      <c r="D484" t="s">
        <v>40</v>
      </c>
      <c r="E484" t="s">
        <v>11</v>
      </c>
      <c r="F484">
        <v>4</v>
      </c>
      <c r="G484">
        <v>91972</v>
      </c>
      <c r="H484">
        <v>9139.4699999999993</v>
      </c>
    </row>
    <row r="485" spans="1:8" x14ac:dyDescent="0.3">
      <c r="A485" s="1">
        <v>45985</v>
      </c>
      <c r="B485" t="s">
        <v>267</v>
      </c>
      <c r="C485" t="s">
        <v>16</v>
      </c>
      <c r="D485" t="s">
        <v>40</v>
      </c>
      <c r="E485" t="s">
        <v>11</v>
      </c>
      <c r="F485">
        <v>10</v>
      </c>
      <c r="G485">
        <v>207340</v>
      </c>
      <c r="H485">
        <v>38134.480000000003</v>
      </c>
    </row>
    <row r="486" spans="1:8" x14ac:dyDescent="0.3">
      <c r="A486" s="1">
        <v>45836</v>
      </c>
      <c r="B486" t="s">
        <v>268</v>
      </c>
      <c r="C486" t="s">
        <v>35</v>
      </c>
      <c r="D486" t="s">
        <v>40</v>
      </c>
      <c r="E486" t="s">
        <v>11</v>
      </c>
      <c r="F486">
        <v>8</v>
      </c>
      <c r="G486">
        <v>109224</v>
      </c>
      <c r="H486">
        <v>23847.48</v>
      </c>
    </row>
    <row r="487" spans="1:8" x14ac:dyDescent="0.3">
      <c r="A487" s="1">
        <v>45972</v>
      </c>
      <c r="B487" t="s">
        <v>269</v>
      </c>
      <c r="C487" t="s">
        <v>29</v>
      </c>
      <c r="D487" t="s">
        <v>26</v>
      </c>
      <c r="E487" t="s">
        <v>27</v>
      </c>
      <c r="F487">
        <v>2</v>
      </c>
      <c r="G487">
        <v>504</v>
      </c>
      <c r="H487">
        <v>51.8</v>
      </c>
    </row>
    <row r="488" spans="1:8" x14ac:dyDescent="0.3">
      <c r="A488" s="1">
        <v>45814</v>
      </c>
      <c r="B488" t="s">
        <v>98</v>
      </c>
      <c r="C488" t="s">
        <v>9</v>
      </c>
      <c r="D488" t="s">
        <v>10</v>
      </c>
      <c r="E488" t="s">
        <v>11</v>
      </c>
      <c r="F488">
        <v>3</v>
      </c>
      <c r="G488">
        <v>72696</v>
      </c>
      <c r="H488">
        <v>14385.39</v>
      </c>
    </row>
    <row r="489" spans="1:8" x14ac:dyDescent="0.3">
      <c r="A489" s="1">
        <v>45872</v>
      </c>
      <c r="B489" t="s">
        <v>217</v>
      </c>
      <c r="C489" t="s">
        <v>16</v>
      </c>
      <c r="D489" t="s">
        <v>26</v>
      </c>
      <c r="E489" t="s">
        <v>27</v>
      </c>
      <c r="F489">
        <v>3</v>
      </c>
      <c r="G489">
        <v>681</v>
      </c>
      <c r="H489">
        <v>98.9</v>
      </c>
    </row>
    <row r="490" spans="1:8" x14ac:dyDescent="0.3">
      <c r="A490" s="1">
        <v>45983</v>
      </c>
      <c r="B490" t="s">
        <v>53</v>
      </c>
      <c r="C490" t="s">
        <v>16</v>
      </c>
      <c r="D490" t="s">
        <v>62</v>
      </c>
      <c r="E490" t="s">
        <v>27</v>
      </c>
      <c r="F490">
        <v>12</v>
      </c>
      <c r="G490">
        <v>2580</v>
      </c>
      <c r="H490">
        <v>614.6</v>
      </c>
    </row>
    <row r="491" spans="1:8" x14ac:dyDescent="0.3">
      <c r="A491" s="1">
        <v>45743</v>
      </c>
      <c r="B491" t="s">
        <v>111</v>
      </c>
      <c r="C491" t="s">
        <v>18</v>
      </c>
      <c r="D491" t="s">
        <v>43</v>
      </c>
      <c r="E491" t="s">
        <v>44</v>
      </c>
      <c r="F491">
        <v>5</v>
      </c>
      <c r="G491">
        <v>31490</v>
      </c>
      <c r="H491">
        <v>3520.79</v>
      </c>
    </row>
    <row r="492" spans="1:8" x14ac:dyDescent="0.3">
      <c r="A492" s="1">
        <v>45685</v>
      </c>
      <c r="B492" t="s">
        <v>270</v>
      </c>
      <c r="C492" t="s">
        <v>35</v>
      </c>
      <c r="D492" t="s">
        <v>56</v>
      </c>
      <c r="E492" t="s">
        <v>31</v>
      </c>
      <c r="F492">
        <v>6</v>
      </c>
      <c r="G492">
        <v>3114</v>
      </c>
      <c r="H492">
        <v>505.66</v>
      </c>
    </row>
    <row r="493" spans="1:8" x14ac:dyDescent="0.3">
      <c r="A493" s="1">
        <v>45854</v>
      </c>
      <c r="B493" t="s">
        <v>271</v>
      </c>
      <c r="C493" t="s">
        <v>29</v>
      </c>
      <c r="D493" t="s">
        <v>62</v>
      </c>
      <c r="E493" t="s">
        <v>27</v>
      </c>
      <c r="F493">
        <v>9</v>
      </c>
      <c r="G493">
        <v>1953</v>
      </c>
      <c r="H493">
        <v>320.57</v>
      </c>
    </row>
    <row r="494" spans="1:8" x14ac:dyDescent="0.3">
      <c r="A494" s="1">
        <v>46021</v>
      </c>
      <c r="B494" t="s">
        <v>228</v>
      </c>
      <c r="C494" t="s">
        <v>29</v>
      </c>
      <c r="D494" t="s">
        <v>56</v>
      </c>
      <c r="E494" t="s">
        <v>31</v>
      </c>
      <c r="F494">
        <v>8</v>
      </c>
      <c r="G494">
        <v>12000</v>
      </c>
      <c r="H494">
        <v>1301.2</v>
      </c>
    </row>
    <row r="495" spans="1:8" x14ac:dyDescent="0.3">
      <c r="A495" s="1">
        <v>45770</v>
      </c>
      <c r="B495" t="s">
        <v>272</v>
      </c>
      <c r="C495" t="s">
        <v>16</v>
      </c>
      <c r="D495" t="s">
        <v>22</v>
      </c>
      <c r="E495" t="s">
        <v>11</v>
      </c>
      <c r="F495">
        <v>1</v>
      </c>
      <c r="G495">
        <v>862</v>
      </c>
      <c r="H495">
        <v>101.91</v>
      </c>
    </row>
    <row r="496" spans="1:8" x14ac:dyDescent="0.3">
      <c r="A496" s="1">
        <v>45892</v>
      </c>
      <c r="B496" t="s">
        <v>242</v>
      </c>
      <c r="C496" t="s">
        <v>35</v>
      </c>
      <c r="D496" t="s">
        <v>26</v>
      </c>
      <c r="E496" t="s">
        <v>27</v>
      </c>
      <c r="F496">
        <v>12</v>
      </c>
      <c r="G496">
        <v>3324</v>
      </c>
      <c r="H496">
        <v>698.73</v>
      </c>
    </row>
    <row r="497" spans="1:8" x14ac:dyDescent="0.3">
      <c r="A497" s="1">
        <v>45715</v>
      </c>
      <c r="B497" t="s">
        <v>179</v>
      </c>
      <c r="C497" t="s">
        <v>35</v>
      </c>
      <c r="D497" t="s">
        <v>26</v>
      </c>
      <c r="E497" t="s">
        <v>27</v>
      </c>
      <c r="F497">
        <v>2</v>
      </c>
      <c r="G497">
        <v>296</v>
      </c>
      <c r="H497">
        <v>62.68</v>
      </c>
    </row>
    <row r="498" spans="1:8" x14ac:dyDescent="0.3">
      <c r="A498" s="1">
        <v>45679</v>
      </c>
      <c r="B498" t="s">
        <v>273</v>
      </c>
      <c r="C498" t="s">
        <v>35</v>
      </c>
      <c r="D498" t="s">
        <v>52</v>
      </c>
      <c r="E498" t="s">
        <v>31</v>
      </c>
      <c r="F498">
        <v>12</v>
      </c>
      <c r="G498">
        <v>57780</v>
      </c>
      <c r="H498">
        <v>9989.01</v>
      </c>
    </row>
    <row r="499" spans="1:8" x14ac:dyDescent="0.3">
      <c r="A499" s="1">
        <v>45992</v>
      </c>
      <c r="B499" t="s">
        <v>200</v>
      </c>
      <c r="C499" t="s">
        <v>18</v>
      </c>
      <c r="D499" t="s">
        <v>52</v>
      </c>
      <c r="E499" t="s">
        <v>31</v>
      </c>
      <c r="F499">
        <v>4</v>
      </c>
      <c r="G499">
        <v>14552</v>
      </c>
      <c r="H499">
        <v>3328.3</v>
      </c>
    </row>
    <row r="500" spans="1:8" x14ac:dyDescent="0.3">
      <c r="A500" s="1">
        <v>45792</v>
      </c>
      <c r="B500" t="s">
        <v>109</v>
      </c>
      <c r="C500" t="s">
        <v>29</v>
      </c>
      <c r="D500" t="s">
        <v>40</v>
      </c>
      <c r="E500" t="s">
        <v>11</v>
      </c>
      <c r="F500">
        <v>2</v>
      </c>
      <c r="G500">
        <v>44774</v>
      </c>
      <c r="H500">
        <v>10168.15</v>
      </c>
    </row>
    <row r="501" spans="1:8" x14ac:dyDescent="0.3">
      <c r="A501" s="1">
        <v>45779</v>
      </c>
      <c r="B501" t="s">
        <v>234</v>
      </c>
      <c r="C501" t="s">
        <v>35</v>
      </c>
      <c r="D501" t="s">
        <v>24</v>
      </c>
      <c r="E501" t="s">
        <v>11</v>
      </c>
      <c r="F501">
        <v>12</v>
      </c>
      <c r="G501">
        <v>20448</v>
      </c>
      <c r="H501">
        <v>4031.38</v>
      </c>
    </row>
    <row r="502" spans="1:8" x14ac:dyDescent="0.3">
      <c r="A502" s="1">
        <v>45877</v>
      </c>
      <c r="B502" t="s">
        <v>243</v>
      </c>
      <c r="C502" t="s">
        <v>18</v>
      </c>
      <c r="D502" t="s">
        <v>36</v>
      </c>
      <c r="E502" t="s">
        <v>11</v>
      </c>
      <c r="F502">
        <v>10</v>
      </c>
      <c r="G502">
        <v>19400</v>
      </c>
      <c r="H502">
        <v>4140.43</v>
      </c>
    </row>
    <row r="503" spans="1:8" x14ac:dyDescent="0.3">
      <c r="A503" s="1">
        <v>45688</v>
      </c>
      <c r="B503" t="s">
        <v>139</v>
      </c>
      <c r="C503" t="s">
        <v>9</v>
      </c>
      <c r="D503" t="s">
        <v>26</v>
      </c>
      <c r="E503" t="s">
        <v>27</v>
      </c>
      <c r="F503">
        <v>6</v>
      </c>
      <c r="G503">
        <v>1296</v>
      </c>
      <c r="H503">
        <v>165.61</v>
      </c>
    </row>
    <row r="504" spans="1:8" x14ac:dyDescent="0.3">
      <c r="A504" s="1">
        <v>45823</v>
      </c>
      <c r="B504" t="s">
        <v>57</v>
      </c>
      <c r="C504" t="s">
        <v>16</v>
      </c>
      <c r="D504" t="s">
        <v>19</v>
      </c>
      <c r="E504" t="s">
        <v>20</v>
      </c>
      <c r="F504">
        <v>5</v>
      </c>
      <c r="G504">
        <v>2980</v>
      </c>
      <c r="H504">
        <v>528.54999999999995</v>
      </c>
    </row>
    <row r="505" spans="1:8" x14ac:dyDescent="0.3">
      <c r="A505" s="1">
        <v>46005</v>
      </c>
      <c r="B505" t="s">
        <v>216</v>
      </c>
      <c r="C505" t="s">
        <v>29</v>
      </c>
      <c r="D505" t="s">
        <v>56</v>
      </c>
      <c r="E505" t="s">
        <v>31</v>
      </c>
      <c r="F505">
        <v>2</v>
      </c>
      <c r="G505">
        <v>1554</v>
      </c>
      <c r="H505">
        <v>378.67</v>
      </c>
    </row>
    <row r="506" spans="1:8" x14ac:dyDescent="0.3">
      <c r="A506" s="1">
        <v>45688</v>
      </c>
      <c r="B506" t="s">
        <v>274</v>
      </c>
      <c r="C506" t="s">
        <v>29</v>
      </c>
      <c r="D506" t="s">
        <v>22</v>
      </c>
      <c r="E506" t="s">
        <v>11</v>
      </c>
      <c r="F506">
        <v>11</v>
      </c>
      <c r="G506">
        <v>6149</v>
      </c>
      <c r="H506">
        <v>1225.1400000000001</v>
      </c>
    </row>
    <row r="507" spans="1:8" x14ac:dyDescent="0.3">
      <c r="A507" s="1">
        <v>45732</v>
      </c>
      <c r="B507" t="s">
        <v>108</v>
      </c>
      <c r="C507" t="s">
        <v>16</v>
      </c>
      <c r="D507" t="s">
        <v>19</v>
      </c>
      <c r="E507" t="s">
        <v>20</v>
      </c>
      <c r="F507">
        <v>6</v>
      </c>
      <c r="G507">
        <v>6888</v>
      </c>
      <c r="H507">
        <v>840.92</v>
      </c>
    </row>
    <row r="508" spans="1:8" x14ac:dyDescent="0.3">
      <c r="A508" s="1">
        <v>45730</v>
      </c>
      <c r="B508" t="s">
        <v>108</v>
      </c>
      <c r="C508" t="s">
        <v>9</v>
      </c>
      <c r="D508" t="s">
        <v>26</v>
      </c>
      <c r="E508" t="s">
        <v>27</v>
      </c>
      <c r="F508">
        <v>11</v>
      </c>
      <c r="G508">
        <v>1628</v>
      </c>
      <c r="H508">
        <v>303.99</v>
      </c>
    </row>
    <row r="509" spans="1:8" x14ac:dyDescent="0.3">
      <c r="A509" s="1">
        <v>45696</v>
      </c>
      <c r="B509" t="s">
        <v>34</v>
      </c>
      <c r="C509" t="s">
        <v>18</v>
      </c>
      <c r="D509" t="s">
        <v>13</v>
      </c>
      <c r="E509" t="s">
        <v>14</v>
      </c>
      <c r="F509">
        <v>2</v>
      </c>
      <c r="G509">
        <v>4700</v>
      </c>
      <c r="H509">
        <v>787.98</v>
      </c>
    </row>
    <row r="510" spans="1:8" x14ac:dyDescent="0.3">
      <c r="A510" s="1">
        <v>45846</v>
      </c>
      <c r="B510" t="s">
        <v>218</v>
      </c>
      <c r="C510" t="s">
        <v>16</v>
      </c>
      <c r="D510" t="s">
        <v>43</v>
      </c>
      <c r="E510" t="s">
        <v>44</v>
      </c>
      <c r="F510">
        <v>8</v>
      </c>
      <c r="G510">
        <v>74896</v>
      </c>
      <c r="H510">
        <v>13401.32</v>
      </c>
    </row>
    <row r="511" spans="1:8" x14ac:dyDescent="0.3">
      <c r="A511" s="1">
        <v>45892</v>
      </c>
      <c r="B511" t="s">
        <v>156</v>
      </c>
      <c r="C511" t="s">
        <v>18</v>
      </c>
      <c r="D511" t="s">
        <v>13</v>
      </c>
      <c r="E511" t="s">
        <v>14</v>
      </c>
      <c r="F511">
        <v>11</v>
      </c>
      <c r="G511">
        <v>23837</v>
      </c>
      <c r="H511">
        <v>5351.84</v>
      </c>
    </row>
    <row r="512" spans="1:8" x14ac:dyDescent="0.3">
      <c r="A512" s="1">
        <v>45769</v>
      </c>
      <c r="B512" t="s">
        <v>275</v>
      </c>
      <c r="C512" t="s">
        <v>18</v>
      </c>
      <c r="D512" t="s">
        <v>47</v>
      </c>
      <c r="E512" t="s">
        <v>44</v>
      </c>
      <c r="F512">
        <v>4</v>
      </c>
      <c r="G512">
        <v>52420</v>
      </c>
      <c r="H512">
        <v>6586.64</v>
      </c>
    </row>
    <row r="513" spans="1:8" x14ac:dyDescent="0.3">
      <c r="A513" s="1">
        <v>45938</v>
      </c>
      <c r="B513" t="s">
        <v>227</v>
      </c>
      <c r="C513" t="s">
        <v>18</v>
      </c>
      <c r="D513" t="s">
        <v>26</v>
      </c>
      <c r="E513" t="s">
        <v>27</v>
      </c>
      <c r="F513">
        <v>3</v>
      </c>
      <c r="G513">
        <v>672</v>
      </c>
      <c r="H513">
        <v>151.13999999999999</v>
      </c>
    </row>
    <row r="514" spans="1:8" x14ac:dyDescent="0.3">
      <c r="A514" s="1">
        <v>46007</v>
      </c>
      <c r="B514" t="s">
        <v>199</v>
      </c>
      <c r="C514" t="s">
        <v>9</v>
      </c>
      <c r="D514" t="s">
        <v>52</v>
      </c>
      <c r="E514" t="s">
        <v>31</v>
      </c>
      <c r="F514">
        <v>1</v>
      </c>
      <c r="G514">
        <v>1576</v>
      </c>
      <c r="H514">
        <v>152.76</v>
      </c>
    </row>
    <row r="515" spans="1:8" x14ac:dyDescent="0.3">
      <c r="A515" s="1">
        <v>45721</v>
      </c>
      <c r="B515" t="s">
        <v>276</v>
      </c>
      <c r="C515" t="s">
        <v>9</v>
      </c>
      <c r="D515" t="s">
        <v>30</v>
      </c>
      <c r="E515" t="s">
        <v>31</v>
      </c>
      <c r="F515">
        <v>3</v>
      </c>
      <c r="G515">
        <v>9021</v>
      </c>
      <c r="H515">
        <v>1421.78</v>
      </c>
    </row>
    <row r="516" spans="1:8" x14ac:dyDescent="0.3">
      <c r="A516" s="1">
        <v>46010</v>
      </c>
      <c r="B516" t="s">
        <v>260</v>
      </c>
      <c r="C516" t="s">
        <v>18</v>
      </c>
      <c r="D516" t="s">
        <v>30</v>
      </c>
      <c r="E516" t="s">
        <v>31</v>
      </c>
      <c r="F516">
        <v>3</v>
      </c>
      <c r="G516">
        <v>7308</v>
      </c>
      <c r="H516">
        <v>782.15</v>
      </c>
    </row>
    <row r="517" spans="1:8" x14ac:dyDescent="0.3">
      <c r="A517" s="1">
        <v>45993</v>
      </c>
      <c r="B517" t="s">
        <v>244</v>
      </c>
      <c r="C517" t="s">
        <v>35</v>
      </c>
      <c r="D517" t="s">
        <v>40</v>
      </c>
      <c r="E517" t="s">
        <v>11</v>
      </c>
      <c r="F517">
        <v>5</v>
      </c>
      <c r="G517">
        <v>53500</v>
      </c>
      <c r="H517">
        <v>7661.92</v>
      </c>
    </row>
    <row r="518" spans="1:8" x14ac:dyDescent="0.3">
      <c r="A518" s="1">
        <v>45860</v>
      </c>
      <c r="B518" t="s">
        <v>218</v>
      </c>
      <c r="C518" t="s">
        <v>29</v>
      </c>
      <c r="D518" t="s">
        <v>13</v>
      </c>
      <c r="E518" t="s">
        <v>14</v>
      </c>
      <c r="F518">
        <v>5</v>
      </c>
      <c r="G518">
        <v>8295</v>
      </c>
      <c r="H518">
        <v>1268.8800000000001</v>
      </c>
    </row>
    <row r="519" spans="1:8" x14ac:dyDescent="0.3">
      <c r="A519" s="1">
        <v>45706</v>
      </c>
      <c r="B519" t="s">
        <v>180</v>
      </c>
      <c r="C519" t="s">
        <v>9</v>
      </c>
      <c r="D519" t="s">
        <v>54</v>
      </c>
      <c r="E519" t="s">
        <v>11</v>
      </c>
      <c r="F519">
        <v>4</v>
      </c>
      <c r="G519">
        <v>242496</v>
      </c>
      <c r="H519">
        <v>22612.65</v>
      </c>
    </row>
    <row r="520" spans="1:8" x14ac:dyDescent="0.3">
      <c r="A520" s="1">
        <v>45923</v>
      </c>
      <c r="B520" t="s">
        <v>161</v>
      </c>
      <c r="C520" t="s">
        <v>35</v>
      </c>
      <c r="D520" t="s">
        <v>13</v>
      </c>
      <c r="E520" t="s">
        <v>14</v>
      </c>
      <c r="F520">
        <v>8</v>
      </c>
      <c r="G520">
        <v>5904</v>
      </c>
      <c r="H520">
        <v>480.41</v>
      </c>
    </row>
    <row r="521" spans="1:8" x14ac:dyDescent="0.3">
      <c r="A521" s="1">
        <v>45719</v>
      </c>
      <c r="B521" t="s">
        <v>114</v>
      </c>
      <c r="C521" t="s">
        <v>35</v>
      </c>
      <c r="D521" t="s">
        <v>56</v>
      </c>
      <c r="E521" t="s">
        <v>31</v>
      </c>
      <c r="F521">
        <v>7</v>
      </c>
      <c r="G521">
        <v>5390</v>
      </c>
      <c r="H521">
        <v>868.92</v>
      </c>
    </row>
    <row r="522" spans="1:8" x14ac:dyDescent="0.3">
      <c r="A522" s="1">
        <v>45703</v>
      </c>
      <c r="B522" t="s">
        <v>272</v>
      </c>
      <c r="C522" t="s">
        <v>29</v>
      </c>
      <c r="D522" t="s">
        <v>19</v>
      </c>
      <c r="E522" t="s">
        <v>20</v>
      </c>
      <c r="F522">
        <v>2</v>
      </c>
      <c r="G522">
        <v>810</v>
      </c>
      <c r="H522">
        <v>107.95</v>
      </c>
    </row>
    <row r="523" spans="1:8" x14ac:dyDescent="0.3">
      <c r="A523" s="1">
        <v>45853</v>
      </c>
      <c r="B523" t="s">
        <v>228</v>
      </c>
      <c r="C523" t="s">
        <v>18</v>
      </c>
      <c r="D523" t="s">
        <v>52</v>
      </c>
      <c r="E523" t="s">
        <v>31</v>
      </c>
      <c r="F523">
        <v>3</v>
      </c>
      <c r="G523">
        <v>7110</v>
      </c>
      <c r="H523">
        <v>651.49</v>
      </c>
    </row>
    <row r="524" spans="1:8" x14ac:dyDescent="0.3">
      <c r="A524" s="1">
        <v>45970</v>
      </c>
      <c r="B524" t="s">
        <v>91</v>
      </c>
      <c r="C524" t="s">
        <v>35</v>
      </c>
      <c r="D524" t="s">
        <v>13</v>
      </c>
      <c r="E524" t="s">
        <v>14</v>
      </c>
      <c r="F524">
        <v>3</v>
      </c>
      <c r="G524">
        <v>7506</v>
      </c>
      <c r="H524">
        <v>1048.5999999999999</v>
      </c>
    </row>
    <row r="525" spans="1:8" x14ac:dyDescent="0.3">
      <c r="A525" s="1">
        <v>45735</v>
      </c>
      <c r="B525" t="s">
        <v>173</v>
      </c>
      <c r="C525" t="s">
        <v>35</v>
      </c>
      <c r="D525" t="s">
        <v>30</v>
      </c>
      <c r="E525" t="s">
        <v>31</v>
      </c>
      <c r="F525">
        <v>7</v>
      </c>
      <c r="G525">
        <v>21084</v>
      </c>
      <c r="H525">
        <v>4769.07</v>
      </c>
    </row>
    <row r="526" spans="1:8" x14ac:dyDescent="0.3">
      <c r="A526" s="1">
        <v>45709</v>
      </c>
      <c r="B526" t="s">
        <v>115</v>
      </c>
      <c r="C526" t="s">
        <v>35</v>
      </c>
      <c r="D526" t="s">
        <v>36</v>
      </c>
      <c r="E526" t="s">
        <v>11</v>
      </c>
      <c r="F526">
        <v>2</v>
      </c>
      <c r="G526">
        <v>7890</v>
      </c>
      <c r="H526">
        <v>1102.71</v>
      </c>
    </row>
    <row r="527" spans="1:8" x14ac:dyDescent="0.3">
      <c r="A527" s="1">
        <v>45729</v>
      </c>
      <c r="B527" t="s">
        <v>252</v>
      </c>
      <c r="C527" t="s">
        <v>18</v>
      </c>
      <c r="D527" t="s">
        <v>24</v>
      </c>
      <c r="E527" t="s">
        <v>11</v>
      </c>
      <c r="F527">
        <v>5</v>
      </c>
      <c r="G527">
        <v>9100</v>
      </c>
      <c r="H527">
        <v>858.33</v>
      </c>
    </row>
    <row r="528" spans="1:8" x14ac:dyDescent="0.3">
      <c r="A528" s="1">
        <v>45965</v>
      </c>
      <c r="B528" t="s">
        <v>277</v>
      </c>
      <c r="C528" t="s">
        <v>18</v>
      </c>
      <c r="D528" t="s">
        <v>19</v>
      </c>
      <c r="E528" t="s">
        <v>20</v>
      </c>
      <c r="F528">
        <v>10</v>
      </c>
      <c r="G528">
        <v>5910</v>
      </c>
      <c r="H528">
        <v>1255.43</v>
      </c>
    </row>
    <row r="529" spans="1:8" x14ac:dyDescent="0.3">
      <c r="A529" s="1">
        <v>45995</v>
      </c>
      <c r="B529" t="s">
        <v>133</v>
      </c>
      <c r="C529" t="s">
        <v>9</v>
      </c>
      <c r="D529" t="s">
        <v>30</v>
      </c>
      <c r="E529" t="s">
        <v>31</v>
      </c>
      <c r="F529">
        <v>5</v>
      </c>
      <c r="G529">
        <v>10205</v>
      </c>
      <c r="H529">
        <v>1714.62</v>
      </c>
    </row>
    <row r="530" spans="1:8" x14ac:dyDescent="0.3">
      <c r="A530" s="1">
        <v>45858</v>
      </c>
      <c r="B530" t="s">
        <v>17</v>
      </c>
      <c r="C530" t="s">
        <v>9</v>
      </c>
      <c r="D530" t="s">
        <v>22</v>
      </c>
      <c r="E530" t="s">
        <v>11</v>
      </c>
      <c r="F530">
        <v>11</v>
      </c>
      <c r="G530">
        <v>4521</v>
      </c>
      <c r="H530">
        <v>964.09</v>
      </c>
    </row>
    <row r="531" spans="1:8" x14ac:dyDescent="0.3">
      <c r="A531" s="1">
        <v>45855</v>
      </c>
      <c r="B531" t="s">
        <v>127</v>
      </c>
      <c r="C531" t="s">
        <v>35</v>
      </c>
      <c r="D531" t="s">
        <v>10</v>
      </c>
      <c r="E531" t="s">
        <v>11</v>
      </c>
      <c r="F531">
        <v>4</v>
      </c>
      <c r="G531">
        <v>113480</v>
      </c>
      <c r="H531">
        <v>21388.03</v>
      </c>
    </row>
    <row r="532" spans="1:8" x14ac:dyDescent="0.3">
      <c r="A532" s="1">
        <v>45664</v>
      </c>
      <c r="B532" t="s">
        <v>45</v>
      </c>
      <c r="C532" t="s">
        <v>18</v>
      </c>
      <c r="D532" t="s">
        <v>40</v>
      </c>
      <c r="E532" t="s">
        <v>11</v>
      </c>
      <c r="F532">
        <v>6</v>
      </c>
      <c r="G532">
        <v>73944</v>
      </c>
      <c r="H532">
        <v>10778.26</v>
      </c>
    </row>
    <row r="533" spans="1:8" x14ac:dyDescent="0.3">
      <c r="A533" s="1">
        <v>45845</v>
      </c>
      <c r="B533" t="s">
        <v>83</v>
      </c>
      <c r="C533" t="s">
        <v>18</v>
      </c>
      <c r="D533" t="s">
        <v>62</v>
      </c>
      <c r="E533" t="s">
        <v>27</v>
      </c>
      <c r="F533">
        <v>11</v>
      </c>
      <c r="G533">
        <v>1034</v>
      </c>
      <c r="H533">
        <v>216.79</v>
      </c>
    </row>
    <row r="534" spans="1:8" x14ac:dyDescent="0.3">
      <c r="A534" s="1">
        <v>45958</v>
      </c>
      <c r="B534" t="s">
        <v>215</v>
      </c>
      <c r="C534" t="s">
        <v>29</v>
      </c>
      <c r="D534" t="s">
        <v>10</v>
      </c>
      <c r="E534" t="s">
        <v>11</v>
      </c>
      <c r="F534">
        <v>1</v>
      </c>
      <c r="G534">
        <v>20591</v>
      </c>
      <c r="H534">
        <v>2402.48</v>
      </c>
    </row>
    <row r="535" spans="1:8" x14ac:dyDescent="0.3">
      <c r="A535" s="1">
        <v>45861</v>
      </c>
      <c r="B535" t="s">
        <v>116</v>
      </c>
      <c r="C535" t="s">
        <v>35</v>
      </c>
      <c r="D535" t="s">
        <v>62</v>
      </c>
      <c r="E535" t="s">
        <v>27</v>
      </c>
      <c r="F535">
        <v>5</v>
      </c>
      <c r="G535">
        <v>1050</v>
      </c>
      <c r="H535">
        <v>211.2</v>
      </c>
    </row>
    <row r="536" spans="1:8" x14ac:dyDescent="0.3">
      <c r="A536" s="1">
        <v>46017</v>
      </c>
      <c r="B536" t="s">
        <v>231</v>
      </c>
      <c r="C536" t="s">
        <v>9</v>
      </c>
      <c r="D536" t="s">
        <v>47</v>
      </c>
      <c r="E536" t="s">
        <v>44</v>
      </c>
      <c r="F536">
        <v>2</v>
      </c>
      <c r="G536">
        <v>30988</v>
      </c>
      <c r="H536">
        <v>5305.64</v>
      </c>
    </row>
    <row r="537" spans="1:8" x14ac:dyDescent="0.3">
      <c r="A537" s="1">
        <v>45800</v>
      </c>
      <c r="B537" t="s">
        <v>243</v>
      </c>
      <c r="C537" t="s">
        <v>29</v>
      </c>
      <c r="D537" t="s">
        <v>10</v>
      </c>
      <c r="E537" t="s">
        <v>11</v>
      </c>
      <c r="F537">
        <v>5</v>
      </c>
      <c r="G537">
        <v>72945</v>
      </c>
      <c r="H537">
        <v>12176.11</v>
      </c>
    </row>
    <row r="538" spans="1:8" x14ac:dyDescent="0.3">
      <c r="A538" s="1">
        <v>45737</v>
      </c>
      <c r="B538" t="s">
        <v>130</v>
      </c>
      <c r="C538" t="s">
        <v>18</v>
      </c>
      <c r="D538" t="s">
        <v>62</v>
      </c>
      <c r="E538" t="s">
        <v>27</v>
      </c>
      <c r="F538">
        <v>6</v>
      </c>
      <c r="G538">
        <v>900</v>
      </c>
      <c r="H538">
        <v>161.72</v>
      </c>
    </row>
    <row r="539" spans="1:8" x14ac:dyDescent="0.3">
      <c r="A539" s="1">
        <v>46015</v>
      </c>
      <c r="B539" t="s">
        <v>173</v>
      </c>
      <c r="C539" t="s">
        <v>9</v>
      </c>
      <c r="D539" t="s">
        <v>47</v>
      </c>
      <c r="E539" t="s">
        <v>44</v>
      </c>
      <c r="F539">
        <v>12</v>
      </c>
      <c r="G539">
        <v>106908</v>
      </c>
      <c r="H539">
        <v>9605.0400000000009</v>
      </c>
    </row>
    <row r="540" spans="1:8" x14ac:dyDescent="0.3">
      <c r="A540" s="1">
        <v>45880</v>
      </c>
      <c r="B540" t="s">
        <v>278</v>
      </c>
      <c r="C540" t="s">
        <v>35</v>
      </c>
      <c r="D540" t="s">
        <v>10</v>
      </c>
      <c r="E540" t="s">
        <v>11</v>
      </c>
      <c r="F540">
        <v>8</v>
      </c>
      <c r="G540">
        <v>256504</v>
      </c>
      <c r="H540">
        <v>47068.87</v>
      </c>
    </row>
    <row r="541" spans="1:8" x14ac:dyDescent="0.3">
      <c r="A541" s="1">
        <v>45994</v>
      </c>
      <c r="B541" t="s">
        <v>8</v>
      </c>
      <c r="C541" t="s">
        <v>18</v>
      </c>
      <c r="D541" t="s">
        <v>19</v>
      </c>
      <c r="E541" t="s">
        <v>20</v>
      </c>
      <c r="F541">
        <v>3</v>
      </c>
      <c r="G541">
        <v>1266</v>
      </c>
      <c r="H541">
        <v>104.01</v>
      </c>
    </row>
    <row r="542" spans="1:8" x14ac:dyDescent="0.3">
      <c r="A542" s="1">
        <v>45663</v>
      </c>
      <c r="B542" t="s">
        <v>42</v>
      </c>
      <c r="C542" t="s">
        <v>35</v>
      </c>
      <c r="D542" t="s">
        <v>36</v>
      </c>
      <c r="E542" t="s">
        <v>11</v>
      </c>
      <c r="F542">
        <v>8</v>
      </c>
      <c r="G542">
        <v>29120</v>
      </c>
      <c r="H542">
        <v>4918.6899999999996</v>
      </c>
    </row>
    <row r="543" spans="1:8" x14ac:dyDescent="0.3">
      <c r="A543" s="1">
        <v>45848</v>
      </c>
      <c r="B543" t="s">
        <v>109</v>
      </c>
      <c r="C543" t="s">
        <v>29</v>
      </c>
      <c r="D543" t="s">
        <v>36</v>
      </c>
      <c r="E543" t="s">
        <v>11</v>
      </c>
      <c r="F543">
        <v>12</v>
      </c>
      <c r="G543">
        <v>36012</v>
      </c>
      <c r="H543">
        <v>7368.02</v>
      </c>
    </row>
    <row r="544" spans="1:8" x14ac:dyDescent="0.3">
      <c r="A544" s="1">
        <v>45673</v>
      </c>
      <c r="B544" t="s">
        <v>34</v>
      </c>
      <c r="C544" t="s">
        <v>29</v>
      </c>
      <c r="D544" t="s">
        <v>40</v>
      </c>
      <c r="E544" t="s">
        <v>11</v>
      </c>
      <c r="F544">
        <v>7</v>
      </c>
      <c r="G544">
        <v>118384</v>
      </c>
      <c r="H544">
        <v>20013.43</v>
      </c>
    </row>
    <row r="545" spans="1:8" x14ac:dyDescent="0.3">
      <c r="A545" s="1">
        <v>45953</v>
      </c>
      <c r="B545" t="s">
        <v>189</v>
      </c>
      <c r="C545" t="s">
        <v>29</v>
      </c>
      <c r="D545" t="s">
        <v>13</v>
      </c>
      <c r="E545" t="s">
        <v>14</v>
      </c>
      <c r="F545">
        <v>2</v>
      </c>
      <c r="G545">
        <v>5464</v>
      </c>
      <c r="H545">
        <v>859.94</v>
      </c>
    </row>
    <row r="546" spans="1:8" x14ac:dyDescent="0.3">
      <c r="A546" s="1">
        <v>45913</v>
      </c>
      <c r="B546" t="s">
        <v>279</v>
      </c>
      <c r="C546" t="s">
        <v>16</v>
      </c>
      <c r="D546" t="s">
        <v>56</v>
      </c>
      <c r="E546" t="s">
        <v>31</v>
      </c>
      <c r="F546">
        <v>10</v>
      </c>
      <c r="G546">
        <v>8410</v>
      </c>
      <c r="H546">
        <v>1198.48</v>
      </c>
    </row>
    <row r="547" spans="1:8" x14ac:dyDescent="0.3">
      <c r="A547" s="1">
        <v>45710</v>
      </c>
      <c r="B547" t="s">
        <v>86</v>
      </c>
      <c r="C547" t="s">
        <v>35</v>
      </c>
      <c r="D547" t="s">
        <v>30</v>
      </c>
      <c r="E547" t="s">
        <v>31</v>
      </c>
      <c r="F547">
        <v>10</v>
      </c>
      <c r="G547">
        <v>16720</v>
      </c>
      <c r="H547">
        <v>1986.82</v>
      </c>
    </row>
    <row r="548" spans="1:8" x14ac:dyDescent="0.3">
      <c r="A548" s="1">
        <v>45680</v>
      </c>
      <c r="B548" t="s">
        <v>69</v>
      </c>
      <c r="C548" t="s">
        <v>29</v>
      </c>
      <c r="D548" t="s">
        <v>56</v>
      </c>
      <c r="E548" t="s">
        <v>31</v>
      </c>
      <c r="F548">
        <v>1</v>
      </c>
      <c r="G548">
        <v>1000</v>
      </c>
      <c r="H548">
        <v>87.82</v>
      </c>
    </row>
    <row r="549" spans="1:8" x14ac:dyDescent="0.3">
      <c r="A549" s="1">
        <v>45734</v>
      </c>
      <c r="B549" t="s">
        <v>114</v>
      </c>
      <c r="C549" t="s">
        <v>29</v>
      </c>
      <c r="D549" t="s">
        <v>36</v>
      </c>
      <c r="E549" t="s">
        <v>11</v>
      </c>
      <c r="F549">
        <v>1</v>
      </c>
      <c r="G549">
        <v>4235</v>
      </c>
      <c r="H549">
        <v>500.44</v>
      </c>
    </row>
    <row r="550" spans="1:8" x14ac:dyDescent="0.3">
      <c r="A550" s="1">
        <v>45821</v>
      </c>
      <c r="B550" t="s">
        <v>128</v>
      </c>
      <c r="C550" t="s">
        <v>35</v>
      </c>
      <c r="D550" t="s">
        <v>22</v>
      </c>
      <c r="E550" t="s">
        <v>11</v>
      </c>
      <c r="F550">
        <v>2</v>
      </c>
      <c r="G550">
        <v>2940</v>
      </c>
      <c r="H550">
        <v>421.53</v>
      </c>
    </row>
    <row r="551" spans="1:8" x14ac:dyDescent="0.3">
      <c r="A551" s="1">
        <v>45684</v>
      </c>
      <c r="B551" t="s">
        <v>173</v>
      </c>
      <c r="C551" t="s">
        <v>29</v>
      </c>
      <c r="D551" t="s">
        <v>36</v>
      </c>
      <c r="E551" t="s">
        <v>11</v>
      </c>
      <c r="F551">
        <v>4</v>
      </c>
      <c r="G551">
        <v>4704</v>
      </c>
      <c r="H551">
        <v>1139.28</v>
      </c>
    </row>
    <row r="552" spans="1:8" x14ac:dyDescent="0.3">
      <c r="A552" s="1">
        <v>45896</v>
      </c>
      <c r="B552" t="s">
        <v>153</v>
      </c>
      <c r="C552" t="s">
        <v>35</v>
      </c>
      <c r="D552" t="s">
        <v>56</v>
      </c>
      <c r="E552" t="s">
        <v>31</v>
      </c>
      <c r="F552">
        <v>5</v>
      </c>
      <c r="G552">
        <v>5680</v>
      </c>
      <c r="H552">
        <v>770.44</v>
      </c>
    </row>
    <row r="553" spans="1:8" x14ac:dyDescent="0.3">
      <c r="A553" s="1">
        <v>45662</v>
      </c>
      <c r="B553" t="s">
        <v>147</v>
      </c>
      <c r="C553" t="s">
        <v>18</v>
      </c>
      <c r="D553" t="s">
        <v>40</v>
      </c>
      <c r="E553" t="s">
        <v>11</v>
      </c>
      <c r="F553">
        <v>4</v>
      </c>
      <c r="G553">
        <v>70216</v>
      </c>
      <c r="H553">
        <v>12347.28</v>
      </c>
    </row>
    <row r="554" spans="1:8" x14ac:dyDescent="0.3">
      <c r="A554" s="1">
        <v>45976</v>
      </c>
      <c r="B554" t="s">
        <v>68</v>
      </c>
      <c r="C554" t="s">
        <v>35</v>
      </c>
      <c r="D554" t="s">
        <v>24</v>
      </c>
      <c r="E554" t="s">
        <v>11</v>
      </c>
      <c r="F554">
        <v>8</v>
      </c>
      <c r="G554">
        <v>10032</v>
      </c>
      <c r="H554">
        <v>1811.65</v>
      </c>
    </row>
    <row r="555" spans="1:8" x14ac:dyDescent="0.3">
      <c r="A555" s="1">
        <v>45758</v>
      </c>
      <c r="B555" t="s">
        <v>106</v>
      </c>
      <c r="C555" t="s">
        <v>35</v>
      </c>
      <c r="D555" t="s">
        <v>19</v>
      </c>
      <c r="E555" t="s">
        <v>20</v>
      </c>
      <c r="F555">
        <v>9</v>
      </c>
      <c r="G555">
        <v>9702</v>
      </c>
      <c r="H555">
        <v>2088.9899999999998</v>
      </c>
    </row>
    <row r="556" spans="1:8" x14ac:dyDescent="0.3">
      <c r="A556" s="1">
        <v>45867</v>
      </c>
      <c r="B556" t="s">
        <v>195</v>
      </c>
      <c r="C556" t="s">
        <v>16</v>
      </c>
      <c r="D556" t="s">
        <v>54</v>
      </c>
      <c r="E556" t="s">
        <v>11</v>
      </c>
      <c r="F556">
        <v>4</v>
      </c>
      <c r="G556">
        <v>250980</v>
      </c>
      <c r="H556">
        <v>34859.120000000003</v>
      </c>
    </row>
    <row r="557" spans="1:8" x14ac:dyDescent="0.3">
      <c r="A557" s="1">
        <v>45658</v>
      </c>
      <c r="B557" t="s">
        <v>280</v>
      </c>
      <c r="C557" t="s">
        <v>18</v>
      </c>
      <c r="D557" t="s">
        <v>52</v>
      </c>
      <c r="E557" t="s">
        <v>31</v>
      </c>
      <c r="F557">
        <v>11</v>
      </c>
      <c r="G557">
        <v>47102</v>
      </c>
      <c r="H557">
        <v>10566.44</v>
      </c>
    </row>
    <row r="558" spans="1:8" x14ac:dyDescent="0.3">
      <c r="A558" s="1">
        <v>45763</v>
      </c>
      <c r="B558" t="s">
        <v>74</v>
      </c>
      <c r="C558" t="s">
        <v>16</v>
      </c>
      <c r="D558" t="s">
        <v>62</v>
      </c>
      <c r="E558" t="s">
        <v>27</v>
      </c>
      <c r="F558">
        <v>4</v>
      </c>
      <c r="G558">
        <v>628</v>
      </c>
      <c r="H558">
        <v>102.77</v>
      </c>
    </row>
    <row r="559" spans="1:8" x14ac:dyDescent="0.3">
      <c r="A559" s="1">
        <v>46022</v>
      </c>
      <c r="B559" t="s">
        <v>98</v>
      </c>
      <c r="C559" t="s">
        <v>29</v>
      </c>
      <c r="D559" t="s">
        <v>22</v>
      </c>
      <c r="E559" t="s">
        <v>11</v>
      </c>
      <c r="F559">
        <v>2</v>
      </c>
      <c r="G559">
        <v>778</v>
      </c>
      <c r="H559">
        <v>184.09</v>
      </c>
    </row>
    <row r="560" spans="1:8" x14ac:dyDescent="0.3">
      <c r="A560" s="1">
        <v>46016</v>
      </c>
      <c r="B560" t="s">
        <v>148</v>
      </c>
      <c r="C560" t="s">
        <v>35</v>
      </c>
      <c r="D560" t="s">
        <v>30</v>
      </c>
      <c r="E560" t="s">
        <v>31</v>
      </c>
      <c r="F560">
        <v>6</v>
      </c>
      <c r="G560">
        <v>18462</v>
      </c>
      <c r="H560">
        <v>4535.6400000000003</v>
      </c>
    </row>
    <row r="561" spans="1:8" x14ac:dyDescent="0.3">
      <c r="A561" s="1">
        <v>45706</v>
      </c>
      <c r="B561" t="s">
        <v>148</v>
      </c>
      <c r="C561" t="s">
        <v>18</v>
      </c>
      <c r="D561" t="s">
        <v>62</v>
      </c>
      <c r="E561" t="s">
        <v>27</v>
      </c>
      <c r="F561">
        <v>3</v>
      </c>
      <c r="G561">
        <v>639</v>
      </c>
      <c r="H561">
        <v>140.19</v>
      </c>
    </row>
    <row r="562" spans="1:8" x14ac:dyDescent="0.3">
      <c r="A562" s="1">
        <v>45948</v>
      </c>
      <c r="B562" t="s">
        <v>175</v>
      </c>
      <c r="C562" t="s">
        <v>16</v>
      </c>
      <c r="D562" t="s">
        <v>54</v>
      </c>
      <c r="E562" t="s">
        <v>11</v>
      </c>
      <c r="F562">
        <v>7</v>
      </c>
      <c r="G562">
        <v>344981</v>
      </c>
      <c r="H562">
        <v>41484.379999999997</v>
      </c>
    </row>
    <row r="563" spans="1:8" x14ac:dyDescent="0.3">
      <c r="A563" s="1">
        <v>45819</v>
      </c>
      <c r="B563" t="s">
        <v>221</v>
      </c>
      <c r="C563" t="s">
        <v>35</v>
      </c>
      <c r="D563" t="s">
        <v>30</v>
      </c>
      <c r="E563" t="s">
        <v>31</v>
      </c>
      <c r="F563">
        <v>7</v>
      </c>
      <c r="G563">
        <v>17752</v>
      </c>
      <c r="H563">
        <v>2380.0100000000002</v>
      </c>
    </row>
    <row r="564" spans="1:8" x14ac:dyDescent="0.3">
      <c r="A564" s="1">
        <v>45696</v>
      </c>
      <c r="B564" t="s">
        <v>281</v>
      </c>
      <c r="C564" t="s">
        <v>9</v>
      </c>
      <c r="D564" t="s">
        <v>24</v>
      </c>
      <c r="E564" t="s">
        <v>11</v>
      </c>
      <c r="F564">
        <v>3</v>
      </c>
      <c r="G564">
        <v>6291</v>
      </c>
      <c r="H564">
        <v>1326.93</v>
      </c>
    </row>
    <row r="565" spans="1:8" x14ac:dyDescent="0.3">
      <c r="A565" s="1">
        <v>45712</v>
      </c>
      <c r="B565" t="s">
        <v>282</v>
      </c>
      <c r="C565" t="s">
        <v>16</v>
      </c>
      <c r="D565" t="s">
        <v>36</v>
      </c>
      <c r="E565" t="s">
        <v>11</v>
      </c>
      <c r="F565">
        <v>8</v>
      </c>
      <c r="G565">
        <v>36936</v>
      </c>
      <c r="H565">
        <v>4926.7299999999996</v>
      </c>
    </row>
    <row r="566" spans="1:8" x14ac:dyDescent="0.3">
      <c r="A566" s="1">
        <v>45841</v>
      </c>
      <c r="B566" t="s">
        <v>175</v>
      </c>
      <c r="C566" t="s">
        <v>18</v>
      </c>
      <c r="D566" t="s">
        <v>52</v>
      </c>
      <c r="E566" t="s">
        <v>31</v>
      </c>
      <c r="F566">
        <v>4</v>
      </c>
      <c r="G566">
        <v>19608</v>
      </c>
      <c r="H566">
        <v>2596.34</v>
      </c>
    </row>
    <row r="567" spans="1:8" x14ac:dyDescent="0.3">
      <c r="A567" s="1">
        <v>45719</v>
      </c>
      <c r="B567" t="s">
        <v>80</v>
      </c>
      <c r="C567" t="s">
        <v>16</v>
      </c>
      <c r="D567" t="s">
        <v>10</v>
      </c>
      <c r="E567" t="s">
        <v>11</v>
      </c>
      <c r="F567">
        <v>3</v>
      </c>
      <c r="G567">
        <v>103440</v>
      </c>
      <c r="H567">
        <v>13624.76</v>
      </c>
    </row>
    <row r="568" spans="1:8" x14ac:dyDescent="0.3">
      <c r="A568" s="1">
        <v>45768</v>
      </c>
      <c r="B568" t="s">
        <v>181</v>
      </c>
      <c r="C568" t="s">
        <v>16</v>
      </c>
      <c r="D568" t="s">
        <v>56</v>
      </c>
      <c r="E568" t="s">
        <v>31</v>
      </c>
      <c r="F568">
        <v>6</v>
      </c>
      <c r="G568">
        <v>4818</v>
      </c>
      <c r="H568">
        <v>460.15</v>
      </c>
    </row>
    <row r="569" spans="1:8" x14ac:dyDescent="0.3">
      <c r="A569" s="1">
        <v>45860</v>
      </c>
      <c r="B569" t="s">
        <v>244</v>
      </c>
      <c r="C569" t="s">
        <v>16</v>
      </c>
      <c r="D569" t="s">
        <v>62</v>
      </c>
      <c r="E569" t="s">
        <v>27</v>
      </c>
      <c r="F569">
        <v>1</v>
      </c>
      <c r="G569">
        <v>223</v>
      </c>
      <c r="H569">
        <v>29.17</v>
      </c>
    </row>
    <row r="570" spans="1:8" x14ac:dyDescent="0.3">
      <c r="A570" s="1">
        <v>45865</v>
      </c>
      <c r="B570" t="s">
        <v>125</v>
      </c>
      <c r="C570" t="s">
        <v>29</v>
      </c>
      <c r="D570" t="s">
        <v>56</v>
      </c>
      <c r="E570" t="s">
        <v>31</v>
      </c>
      <c r="F570">
        <v>8</v>
      </c>
      <c r="G570">
        <v>13104</v>
      </c>
      <c r="H570">
        <v>2714.8</v>
      </c>
    </row>
    <row r="571" spans="1:8" x14ac:dyDescent="0.3">
      <c r="A571" s="1">
        <v>45894</v>
      </c>
      <c r="B571" t="s">
        <v>73</v>
      </c>
      <c r="C571" t="s">
        <v>9</v>
      </c>
      <c r="D571" t="s">
        <v>10</v>
      </c>
      <c r="E571" t="s">
        <v>11</v>
      </c>
      <c r="F571">
        <v>3</v>
      </c>
      <c r="G571">
        <v>47937</v>
      </c>
      <c r="H571">
        <v>3932.4</v>
      </c>
    </row>
    <row r="572" spans="1:8" x14ac:dyDescent="0.3">
      <c r="A572" s="1">
        <v>45759</v>
      </c>
      <c r="B572" t="s">
        <v>148</v>
      </c>
      <c r="C572" t="s">
        <v>18</v>
      </c>
      <c r="D572" t="s">
        <v>56</v>
      </c>
      <c r="E572" t="s">
        <v>31</v>
      </c>
      <c r="F572">
        <v>7</v>
      </c>
      <c r="G572">
        <v>8834</v>
      </c>
      <c r="H572">
        <v>1737.37</v>
      </c>
    </row>
    <row r="573" spans="1:8" x14ac:dyDescent="0.3">
      <c r="A573" s="1">
        <v>45958</v>
      </c>
      <c r="B573" t="s">
        <v>250</v>
      </c>
      <c r="C573" t="s">
        <v>18</v>
      </c>
      <c r="D573" t="s">
        <v>22</v>
      </c>
      <c r="E573" t="s">
        <v>11</v>
      </c>
      <c r="F573">
        <v>2</v>
      </c>
      <c r="G573">
        <v>688</v>
      </c>
      <c r="H573">
        <v>171.67</v>
      </c>
    </row>
    <row r="574" spans="1:8" x14ac:dyDescent="0.3">
      <c r="A574" s="1">
        <v>45988</v>
      </c>
      <c r="B574" t="s">
        <v>105</v>
      </c>
      <c r="C574" t="s">
        <v>18</v>
      </c>
      <c r="D574" t="s">
        <v>43</v>
      </c>
      <c r="E574" t="s">
        <v>44</v>
      </c>
      <c r="F574">
        <v>3</v>
      </c>
      <c r="G574">
        <v>16518</v>
      </c>
      <c r="H574">
        <v>3862.95</v>
      </c>
    </row>
    <row r="575" spans="1:8" x14ac:dyDescent="0.3">
      <c r="A575" s="1">
        <v>45679</v>
      </c>
      <c r="B575" t="s">
        <v>129</v>
      </c>
      <c r="C575" t="s">
        <v>35</v>
      </c>
      <c r="D575" t="s">
        <v>43</v>
      </c>
      <c r="E575" t="s">
        <v>44</v>
      </c>
      <c r="F575">
        <v>1</v>
      </c>
      <c r="G575">
        <v>6752</v>
      </c>
      <c r="H575">
        <v>1600.92</v>
      </c>
    </row>
    <row r="576" spans="1:8" x14ac:dyDescent="0.3">
      <c r="A576" s="1">
        <v>45860</v>
      </c>
      <c r="B576" t="s">
        <v>283</v>
      </c>
      <c r="C576" t="s">
        <v>18</v>
      </c>
      <c r="D576" t="s">
        <v>43</v>
      </c>
      <c r="E576" t="s">
        <v>44</v>
      </c>
      <c r="F576">
        <v>1</v>
      </c>
      <c r="G576">
        <v>10270</v>
      </c>
      <c r="H576">
        <v>2014.42</v>
      </c>
    </row>
    <row r="577" spans="1:8" x14ac:dyDescent="0.3">
      <c r="A577" s="1">
        <v>45767</v>
      </c>
      <c r="B577" t="s">
        <v>106</v>
      </c>
      <c r="C577" t="s">
        <v>18</v>
      </c>
      <c r="D577" t="s">
        <v>30</v>
      </c>
      <c r="E577" t="s">
        <v>31</v>
      </c>
      <c r="F577">
        <v>3</v>
      </c>
      <c r="G577">
        <v>6978</v>
      </c>
      <c r="H577">
        <v>890.22</v>
      </c>
    </row>
    <row r="578" spans="1:8" x14ac:dyDescent="0.3">
      <c r="A578" s="1">
        <v>45972</v>
      </c>
      <c r="B578" t="s">
        <v>271</v>
      </c>
      <c r="C578" t="s">
        <v>9</v>
      </c>
      <c r="D578" t="s">
        <v>26</v>
      </c>
      <c r="E578" t="s">
        <v>27</v>
      </c>
      <c r="F578">
        <v>10</v>
      </c>
      <c r="G578">
        <v>1420</v>
      </c>
      <c r="H578">
        <v>269.85000000000002</v>
      </c>
    </row>
    <row r="579" spans="1:8" x14ac:dyDescent="0.3">
      <c r="A579" s="1">
        <v>45939</v>
      </c>
      <c r="B579" t="s">
        <v>284</v>
      </c>
      <c r="C579" t="s">
        <v>35</v>
      </c>
      <c r="D579" t="s">
        <v>43</v>
      </c>
      <c r="E579" t="s">
        <v>44</v>
      </c>
      <c r="F579">
        <v>1</v>
      </c>
      <c r="G579">
        <v>5437</v>
      </c>
      <c r="H579">
        <v>693.55</v>
      </c>
    </row>
    <row r="580" spans="1:8" x14ac:dyDescent="0.3">
      <c r="A580" s="1">
        <v>45760</v>
      </c>
      <c r="B580" t="s">
        <v>285</v>
      </c>
      <c r="C580" t="s">
        <v>35</v>
      </c>
      <c r="D580" t="s">
        <v>13</v>
      </c>
      <c r="E580" t="s">
        <v>14</v>
      </c>
      <c r="F580">
        <v>9</v>
      </c>
      <c r="G580">
        <v>15480</v>
      </c>
      <c r="H580">
        <v>2898.29</v>
      </c>
    </row>
    <row r="581" spans="1:8" x14ac:dyDescent="0.3">
      <c r="A581" s="1">
        <v>45667</v>
      </c>
      <c r="B581" t="s">
        <v>286</v>
      </c>
      <c r="C581" t="s">
        <v>16</v>
      </c>
      <c r="D581" t="s">
        <v>47</v>
      </c>
      <c r="E581" t="s">
        <v>44</v>
      </c>
      <c r="F581">
        <v>12</v>
      </c>
      <c r="G581">
        <v>130596</v>
      </c>
      <c r="H581">
        <v>21097.31</v>
      </c>
    </row>
    <row r="582" spans="1:8" x14ac:dyDescent="0.3">
      <c r="A582" s="1">
        <v>45947</v>
      </c>
      <c r="B582" t="s">
        <v>195</v>
      </c>
      <c r="C582" t="s">
        <v>29</v>
      </c>
      <c r="D582" t="s">
        <v>62</v>
      </c>
      <c r="E582" t="s">
        <v>27</v>
      </c>
      <c r="F582">
        <v>6</v>
      </c>
      <c r="G582">
        <v>894</v>
      </c>
      <c r="H582">
        <v>112.62</v>
      </c>
    </row>
    <row r="583" spans="1:8" x14ac:dyDescent="0.3">
      <c r="A583" s="1">
        <v>45963</v>
      </c>
      <c r="B583" t="s">
        <v>90</v>
      </c>
      <c r="C583" t="s">
        <v>35</v>
      </c>
      <c r="D583" t="s">
        <v>24</v>
      </c>
      <c r="E583" t="s">
        <v>11</v>
      </c>
      <c r="F583">
        <v>1</v>
      </c>
      <c r="G583">
        <v>2334</v>
      </c>
      <c r="H583">
        <v>508.39</v>
      </c>
    </row>
    <row r="584" spans="1:8" x14ac:dyDescent="0.3">
      <c r="A584" s="1">
        <v>45899</v>
      </c>
      <c r="B584" t="s">
        <v>73</v>
      </c>
      <c r="C584" t="s">
        <v>35</v>
      </c>
      <c r="D584" t="s">
        <v>62</v>
      </c>
      <c r="E584" t="s">
        <v>27</v>
      </c>
      <c r="F584">
        <v>6</v>
      </c>
      <c r="G584">
        <v>1476</v>
      </c>
      <c r="H584">
        <v>264.61</v>
      </c>
    </row>
    <row r="585" spans="1:8" x14ac:dyDescent="0.3">
      <c r="A585" s="1">
        <v>45709</v>
      </c>
      <c r="B585" t="s">
        <v>215</v>
      </c>
      <c r="C585" t="s">
        <v>9</v>
      </c>
      <c r="D585" t="s">
        <v>24</v>
      </c>
      <c r="E585" t="s">
        <v>11</v>
      </c>
      <c r="F585">
        <v>11</v>
      </c>
      <c r="G585">
        <v>10923</v>
      </c>
      <c r="H585">
        <v>1368.76</v>
      </c>
    </row>
    <row r="586" spans="1:8" x14ac:dyDescent="0.3">
      <c r="A586" s="1">
        <v>45770</v>
      </c>
      <c r="B586" t="s">
        <v>287</v>
      </c>
      <c r="C586" t="s">
        <v>18</v>
      </c>
      <c r="D586" t="s">
        <v>26</v>
      </c>
      <c r="E586" t="s">
        <v>27</v>
      </c>
      <c r="F586">
        <v>7</v>
      </c>
      <c r="G586">
        <v>1190</v>
      </c>
      <c r="H586">
        <v>284.39</v>
      </c>
    </row>
    <row r="587" spans="1:8" x14ac:dyDescent="0.3">
      <c r="A587" s="1">
        <v>45779</v>
      </c>
      <c r="B587" t="s">
        <v>58</v>
      </c>
      <c r="C587" t="s">
        <v>35</v>
      </c>
      <c r="D587" t="s">
        <v>26</v>
      </c>
      <c r="E587" t="s">
        <v>27</v>
      </c>
      <c r="F587">
        <v>6</v>
      </c>
      <c r="G587">
        <v>1716</v>
      </c>
      <c r="H587">
        <v>352.6</v>
      </c>
    </row>
    <row r="588" spans="1:8" x14ac:dyDescent="0.3">
      <c r="A588" s="1">
        <v>45960</v>
      </c>
      <c r="B588" t="s">
        <v>167</v>
      </c>
      <c r="C588" t="s">
        <v>35</v>
      </c>
      <c r="D588" t="s">
        <v>54</v>
      </c>
      <c r="E588" t="s">
        <v>11</v>
      </c>
      <c r="F588">
        <v>12</v>
      </c>
      <c r="G588">
        <v>678276</v>
      </c>
      <c r="H588">
        <v>163522.16</v>
      </c>
    </row>
    <row r="589" spans="1:8" x14ac:dyDescent="0.3">
      <c r="A589" s="1">
        <v>45946</v>
      </c>
      <c r="B589" t="s">
        <v>225</v>
      </c>
      <c r="C589" t="s">
        <v>29</v>
      </c>
      <c r="D589" t="s">
        <v>24</v>
      </c>
      <c r="E589" t="s">
        <v>11</v>
      </c>
      <c r="F589">
        <v>8</v>
      </c>
      <c r="G589">
        <v>12880</v>
      </c>
      <c r="H589">
        <v>1707.1</v>
      </c>
    </row>
    <row r="590" spans="1:8" x14ac:dyDescent="0.3">
      <c r="A590" s="1">
        <v>45704</v>
      </c>
      <c r="B590" t="s">
        <v>110</v>
      </c>
      <c r="C590" t="s">
        <v>9</v>
      </c>
      <c r="D590" t="s">
        <v>54</v>
      </c>
      <c r="E590" t="s">
        <v>11</v>
      </c>
      <c r="F590">
        <v>4</v>
      </c>
      <c r="G590">
        <v>258860</v>
      </c>
      <c r="H590">
        <v>30337.75</v>
      </c>
    </row>
    <row r="591" spans="1:8" x14ac:dyDescent="0.3">
      <c r="A591" s="1">
        <v>45658</v>
      </c>
      <c r="B591" t="s">
        <v>288</v>
      </c>
      <c r="C591" t="s">
        <v>29</v>
      </c>
      <c r="D591" t="s">
        <v>40</v>
      </c>
      <c r="E591" t="s">
        <v>11</v>
      </c>
      <c r="F591">
        <v>10</v>
      </c>
      <c r="G591">
        <v>146010</v>
      </c>
      <c r="H591">
        <v>31698.15</v>
      </c>
    </row>
    <row r="592" spans="1:8" x14ac:dyDescent="0.3">
      <c r="A592" s="1">
        <v>45748</v>
      </c>
      <c r="B592" t="s">
        <v>254</v>
      </c>
      <c r="C592" t="s">
        <v>35</v>
      </c>
      <c r="D592" t="s">
        <v>30</v>
      </c>
      <c r="E592" t="s">
        <v>31</v>
      </c>
      <c r="F592">
        <v>6</v>
      </c>
      <c r="G592">
        <v>8658</v>
      </c>
      <c r="H592">
        <v>724.89</v>
      </c>
    </row>
    <row r="593" spans="1:8" x14ac:dyDescent="0.3">
      <c r="A593" s="1">
        <v>45730</v>
      </c>
      <c r="B593" t="s">
        <v>185</v>
      </c>
      <c r="C593" t="s">
        <v>35</v>
      </c>
      <c r="D593" t="s">
        <v>52</v>
      </c>
      <c r="E593" t="s">
        <v>31</v>
      </c>
      <c r="F593">
        <v>2</v>
      </c>
      <c r="G593">
        <v>11022</v>
      </c>
      <c r="H593">
        <v>2494.4299999999998</v>
      </c>
    </row>
    <row r="594" spans="1:8" x14ac:dyDescent="0.3">
      <c r="A594" s="1">
        <v>46018</v>
      </c>
      <c r="B594" t="s">
        <v>275</v>
      </c>
      <c r="C594" t="s">
        <v>9</v>
      </c>
      <c r="D594" t="s">
        <v>13</v>
      </c>
      <c r="E594" t="s">
        <v>14</v>
      </c>
      <c r="F594">
        <v>7</v>
      </c>
      <c r="G594">
        <v>21700</v>
      </c>
      <c r="H594">
        <v>2108.71</v>
      </c>
    </row>
    <row r="595" spans="1:8" x14ac:dyDescent="0.3">
      <c r="A595" s="1">
        <v>45727</v>
      </c>
      <c r="B595" t="s">
        <v>154</v>
      </c>
      <c r="C595" t="s">
        <v>16</v>
      </c>
      <c r="D595" t="s">
        <v>36</v>
      </c>
      <c r="E595" t="s">
        <v>11</v>
      </c>
      <c r="F595">
        <v>12</v>
      </c>
      <c r="G595">
        <v>52536</v>
      </c>
      <c r="H595">
        <v>11274.92</v>
      </c>
    </row>
    <row r="596" spans="1:8" x14ac:dyDescent="0.3">
      <c r="A596" s="1">
        <v>45820</v>
      </c>
      <c r="B596" t="s">
        <v>289</v>
      </c>
      <c r="C596" t="s">
        <v>16</v>
      </c>
      <c r="D596" t="s">
        <v>36</v>
      </c>
      <c r="E596" t="s">
        <v>11</v>
      </c>
      <c r="F596">
        <v>12</v>
      </c>
      <c r="G596">
        <v>44676</v>
      </c>
      <c r="H596">
        <v>5269.55</v>
      </c>
    </row>
    <row r="597" spans="1:8" x14ac:dyDescent="0.3">
      <c r="A597" s="1">
        <v>45747</v>
      </c>
      <c r="B597" t="s">
        <v>182</v>
      </c>
      <c r="C597" t="s">
        <v>35</v>
      </c>
      <c r="D597" t="s">
        <v>47</v>
      </c>
      <c r="E597" t="s">
        <v>44</v>
      </c>
      <c r="F597">
        <v>5</v>
      </c>
      <c r="G597">
        <v>85125</v>
      </c>
      <c r="H597">
        <v>16773.43</v>
      </c>
    </row>
    <row r="598" spans="1:8" x14ac:dyDescent="0.3">
      <c r="A598" s="1">
        <v>45658</v>
      </c>
      <c r="B598" t="s">
        <v>228</v>
      </c>
      <c r="C598" t="s">
        <v>35</v>
      </c>
      <c r="D598" t="s">
        <v>19</v>
      </c>
      <c r="E598" t="s">
        <v>20</v>
      </c>
      <c r="F598">
        <v>10</v>
      </c>
      <c r="G598">
        <v>7000</v>
      </c>
      <c r="H598">
        <v>1572.4</v>
      </c>
    </row>
    <row r="599" spans="1:8" x14ac:dyDescent="0.3">
      <c r="A599" s="1">
        <v>45751</v>
      </c>
      <c r="B599" t="s">
        <v>290</v>
      </c>
      <c r="C599" t="s">
        <v>29</v>
      </c>
      <c r="D599" t="s">
        <v>26</v>
      </c>
      <c r="E599" t="s">
        <v>27</v>
      </c>
      <c r="F599">
        <v>6</v>
      </c>
      <c r="G599">
        <v>1722</v>
      </c>
      <c r="H599">
        <v>421</v>
      </c>
    </row>
    <row r="600" spans="1:8" x14ac:dyDescent="0.3">
      <c r="A600" s="1">
        <v>45947</v>
      </c>
      <c r="B600" t="s">
        <v>291</v>
      </c>
      <c r="C600" t="s">
        <v>29</v>
      </c>
      <c r="D600" t="s">
        <v>10</v>
      </c>
      <c r="E600" t="s">
        <v>11</v>
      </c>
      <c r="F600">
        <v>8</v>
      </c>
      <c r="G600">
        <v>132864</v>
      </c>
      <c r="H600">
        <v>18109.18</v>
      </c>
    </row>
    <row r="601" spans="1:8" x14ac:dyDescent="0.3">
      <c r="A601" s="1">
        <v>45835</v>
      </c>
      <c r="B601" t="s">
        <v>238</v>
      </c>
      <c r="C601" t="s">
        <v>29</v>
      </c>
      <c r="D601" t="s">
        <v>40</v>
      </c>
      <c r="E601" t="s">
        <v>11</v>
      </c>
      <c r="F601">
        <v>3</v>
      </c>
      <c r="G601">
        <v>32721</v>
      </c>
      <c r="H601">
        <v>7188.23</v>
      </c>
    </row>
    <row r="602" spans="1:8" x14ac:dyDescent="0.3">
      <c r="A602" s="1">
        <v>45663</v>
      </c>
      <c r="B602" t="s">
        <v>85</v>
      </c>
      <c r="C602" t="s">
        <v>18</v>
      </c>
      <c r="D602" t="s">
        <v>22</v>
      </c>
      <c r="E602" t="s">
        <v>11</v>
      </c>
      <c r="F602">
        <v>4</v>
      </c>
      <c r="G602">
        <v>3244</v>
      </c>
      <c r="H602">
        <v>641.79</v>
      </c>
    </row>
    <row r="603" spans="1:8" x14ac:dyDescent="0.3">
      <c r="A603" s="1">
        <v>45713</v>
      </c>
      <c r="B603" t="s">
        <v>51</v>
      </c>
      <c r="C603" t="s">
        <v>35</v>
      </c>
      <c r="D603" t="s">
        <v>19</v>
      </c>
      <c r="E603" t="s">
        <v>20</v>
      </c>
      <c r="F603">
        <v>1</v>
      </c>
      <c r="G603">
        <v>349</v>
      </c>
      <c r="H603">
        <v>50.82</v>
      </c>
    </row>
    <row r="604" spans="1:8" x14ac:dyDescent="0.3">
      <c r="A604" s="1">
        <v>45869</v>
      </c>
      <c r="B604" t="s">
        <v>151</v>
      </c>
      <c r="C604" t="s">
        <v>18</v>
      </c>
      <c r="D604" t="s">
        <v>43</v>
      </c>
      <c r="E604" t="s">
        <v>44</v>
      </c>
      <c r="F604">
        <v>7</v>
      </c>
      <c r="G604">
        <v>68278</v>
      </c>
      <c r="H604">
        <v>11800.08</v>
      </c>
    </row>
    <row r="605" spans="1:8" x14ac:dyDescent="0.3">
      <c r="A605" s="1">
        <v>45903</v>
      </c>
      <c r="B605" t="s">
        <v>292</v>
      </c>
      <c r="C605" t="s">
        <v>16</v>
      </c>
      <c r="D605" t="s">
        <v>52</v>
      </c>
      <c r="E605" t="s">
        <v>31</v>
      </c>
      <c r="F605">
        <v>10</v>
      </c>
      <c r="G605">
        <v>30470</v>
      </c>
      <c r="H605">
        <v>3280.14</v>
      </c>
    </row>
    <row r="606" spans="1:8" x14ac:dyDescent="0.3">
      <c r="A606" s="1">
        <v>45675</v>
      </c>
      <c r="B606" t="s">
        <v>293</v>
      </c>
      <c r="C606" t="s">
        <v>35</v>
      </c>
      <c r="D606" t="s">
        <v>22</v>
      </c>
      <c r="E606" t="s">
        <v>11</v>
      </c>
      <c r="F606">
        <v>1</v>
      </c>
      <c r="G606">
        <v>952</v>
      </c>
      <c r="H606">
        <v>118.42</v>
      </c>
    </row>
    <row r="607" spans="1:8" x14ac:dyDescent="0.3">
      <c r="A607" s="1">
        <v>45833</v>
      </c>
      <c r="B607" t="s">
        <v>248</v>
      </c>
      <c r="C607" t="s">
        <v>35</v>
      </c>
      <c r="D607" t="s">
        <v>36</v>
      </c>
      <c r="E607" t="s">
        <v>11</v>
      </c>
      <c r="F607">
        <v>7</v>
      </c>
      <c r="G607">
        <v>14826</v>
      </c>
      <c r="H607">
        <v>3030.99</v>
      </c>
    </row>
    <row r="608" spans="1:8" x14ac:dyDescent="0.3">
      <c r="A608" s="1">
        <v>45705</v>
      </c>
      <c r="B608" t="s">
        <v>263</v>
      </c>
      <c r="C608" t="s">
        <v>9</v>
      </c>
      <c r="D608" t="s">
        <v>40</v>
      </c>
      <c r="E608" t="s">
        <v>11</v>
      </c>
      <c r="F608">
        <v>10</v>
      </c>
      <c r="G608">
        <v>238180</v>
      </c>
      <c r="H608">
        <v>47580.22</v>
      </c>
    </row>
    <row r="609" spans="1:8" x14ac:dyDescent="0.3">
      <c r="A609" s="1">
        <v>45742</v>
      </c>
      <c r="B609" t="s">
        <v>41</v>
      </c>
      <c r="C609" t="s">
        <v>35</v>
      </c>
      <c r="D609" t="s">
        <v>26</v>
      </c>
      <c r="E609" t="s">
        <v>27</v>
      </c>
      <c r="F609">
        <v>7</v>
      </c>
      <c r="G609">
        <v>840</v>
      </c>
      <c r="H609">
        <v>74.849999999999994</v>
      </c>
    </row>
    <row r="610" spans="1:8" x14ac:dyDescent="0.3">
      <c r="A610" s="1">
        <v>45755</v>
      </c>
      <c r="B610" t="s">
        <v>239</v>
      </c>
      <c r="C610" t="s">
        <v>16</v>
      </c>
      <c r="D610" t="s">
        <v>47</v>
      </c>
      <c r="E610" t="s">
        <v>44</v>
      </c>
      <c r="F610">
        <v>12</v>
      </c>
      <c r="G610">
        <v>168936</v>
      </c>
      <c r="H610">
        <v>34251.18</v>
      </c>
    </row>
    <row r="611" spans="1:8" x14ac:dyDescent="0.3">
      <c r="A611" s="1">
        <v>45996</v>
      </c>
      <c r="B611" t="s">
        <v>257</v>
      </c>
      <c r="C611" t="s">
        <v>35</v>
      </c>
      <c r="D611" t="s">
        <v>22</v>
      </c>
      <c r="E611" t="s">
        <v>11</v>
      </c>
      <c r="F611">
        <v>5</v>
      </c>
      <c r="G611">
        <v>3930</v>
      </c>
      <c r="H611">
        <v>378.48</v>
      </c>
    </row>
    <row r="612" spans="1:8" x14ac:dyDescent="0.3">
      <c r="A612" s="1">
        <v>45939</v>
      </c>
      <c r="B612" t="s">
        <v>210</v>
      </c>
      <c r="C612" t="s">
        <v>18</v>
      </c>
      <c r="D612" t="s">
        <v>56</v>
      </c>
      <c r="E612" t="s">
        <v>31</v>
      </c>
      <c r="F612">
        <v>8</v>
      </c>
      <c r="G612">
        <v>6512</v>
      </c>
      <c r="H612">
        <v>581.29999999999995</v>
      </c>
    </row>
    <row r="613" spans="1:8" x14ac:dyDescent="0.3">
      <c r="A613" s="1">
        <v>45702</v>
      </c>
      <c r="B613" t="s">
        <v>294</v>
      </c>
      <c r="C613" t="s">
        <v>35</v>
      </c>
      <c r="D613" t="s">
        <v>22</v>
      </c>
      <c r="E613" t="s">
        <v>11</v>
      </c>
      <c r="F613">
        <v>11</v>
      </c>
      <c r="G613">
        <v>17380</v>
      </c>
      <c r="H613">
        <v>3163.8</v>
      </c>
    </row>
    <row r="614" spans="1:8" x14ac:dyDescent="0.3">
      <c r="A614" s="1">
        <v>45671</v>
      </c>
      <c r="B614" t="s">
        <v>107</v>
      </c>
      <c r="C614" t="s">
        <v>18</v>
      </c>
      <c r="D614" t="s">
        <v>24</v>
      </c>
      <c r="E614" t="s">
        <v>11</v>
      </c>
      <c r="F614">
        <v>3</v>
      </c>
      <c r="G614">
        <v>5421</v>
      </c>
      <c r="H614">
        <v>702.6</v>
      </c>
    </row>
    <row r="615" spans="1:8" x14ac:dyDescent="0.3">
      <c r="A615" s="1">
        <v>45717</v>
      </c>
      <c r="B615" t="s">
        <v>260</v>
      </c>
      <c r="C615" t="s">
        <v>29</v>
      </c>
      <c r="D615" t="s">
        <v>22</v>
      </c>
      <c r="E615" t="s">
        <v>11</v>
      </c>
      <c r="F615">
        <v>7</v>
      </c>
      <c r="G615">
        <v>8848</v>
      </c>
      <c r="H615">
        <v>1443.52</v>
      </c>
    </row>
    <row r="616" spans="1:8" x14ac:dyDescent="0.3">
      <c r="A616" s="1">
        <v>45986</v>
      </c>
      <c r="B616" t="s">
        <v>131</v>
      </c>
      <c r="C616" t="s">
        <v>29</v>
      </c>
      <c r="D616" t="s">
        <v>62</v>
      </c>
      <c r="E616" t="s">
        <v>27</v>
      </c>
      <c r="F616">
        <v>7</v>
      </c>
      <c r="G616">
        <v>679</v>
      </c>
      <c r="H616">
        <v>97.15</v>
      </c>
    </row>
    <row r="617" spans="1:8" x14ac:dyDescent="0.3">
      <c r="A617" s="1">
        <v>45753</v>
      </c>
      <c r="B617" t="s">
        <v>221</v>
      </c>
      <c r="C617" t="s">
        <v>9</v>
      </c>
      <c r="D617" t="s">
        <v>43</v>
      </c>
      <c r="E617" t="s">
        <v>44</v>
      </c>
      <c r="F617">
        <v>1</v>
      </c>
      <c r="G617">
        <v>8313</v>
      </c>
      <c r="H617">
        <v>1286.49</v>
      </c>
    </row>
    <row r="618" spans="1:8" x14ac:dyDescent="0.3">
      <c r="A618" s="1">
        <v>45795</v>
      </c>
      <c r="B618" t="s">
        <v>293</v>
      </c>
      <c r="C618" t="s">
        <v>35</v>
      </c>
      <c r="D618" t="s">
        <v>26</v>
      </c>
      <c r="E618" t="s">
        <v>27</v>
      </c>
      <c r="F618">
        <v>1</v>
      </c>
      <c r="G618">
        <v>118</v>
      </c>
      <c r="H618">
        <v>24.53</v>
      </c>
    </row>
    <row r="619" spans="1:8" x14ac:dyDescent="0.3">
      <c r="A619" s="1">
        <v>46000</v>
      </c>
      <c r="B619" t="s">
        <v>180</v>
      </c>
      <c r="C619" t="s">
        <v>29</v>
      </c>
      <c r="D619" t="s">
        <v>40</v>
      </c>
      <c r="E619" t="s">
        <v>11</v>
      </c>
      <c r="F619">
        <v>9</v>
      </c>
      <c r="G619">
        <v>194085</v>
      </c>
      <c r="H619">
        <v>47554.7</v>
      </c>
    </row>
    <row r="620" spans="1:8" x14ac:dyDescent="0.3">
      <c r="A620" s="1">
        <v>45941</v>
      </c>
      <c r="B620" t="s">
        <v>226</v>
      </c>
      <c r="C620" t="s">
        <v>29</v>
      </c>
      <c r="D620" t="s">
        <v>54</v>
      </c>
      <c r="E620" t="s">
        <v>11</v>
      </c>
      <c r="F620">
        <v>7</v>
      </c>
      <c r="G620">
        <v>434861</v>
      </c>
      <c r="H620">
        <v>65736.83</v>
      </c>
    </row>
    <row r="621" spans="1:8" x14ac:dyDescent="0.3">
      <c r="A621" s="1">
        <v>45901</v>
      </c>
      <c r="B621" t="s">
        <v>222</v>
      </c>
      <c r="C621" t="s">
        <v>9</v>
      </c>
      <c r="D621" t="s">
        <v>26</v>
      </c>
      <c r="E621" t="s">
        <v>27</v>
      </c>
      <c r="F621">
        <v>4</v>
      </c>
      <c r="G621">
        <v>804</v>
      </c>
      <c r="H621">
        <v>105.17</v>
      </c>
    </row>
    <row r="622" spans="1:8" x14ac:dyDescent="0.3">
      <c r="A622" s="1">
        <v>45675</v>
      </c>
      <c r="B622" t="s">
        <v>231</v>
      </c>
      <c r="C622" t="s">
        <v>9</v>
      </c>
      <c r="D622" t="s">
        <v>62</v>
      </c>
      <c r="E622" t="s">
        <v>27</v>
      </c>
      <c r="F622">
        <v>10</v>
      </c>
      <c r="G622">
        <v>1820</v>
      </c>
      <c r="H622">
        <v>393.26</v>
      </c>
    </row>
    <row r="623" spans="1:8" x14ac:dyDescent="0.3">
      <c r="A623" s="1">
        <v>45719</v>
      </c>
      <c r="B623" t="s">
        <v>295</v>
      </c>
      <c r="C623" t="s">
        <v>35</v>
      </c>
      <c r="D623" t="s">
        <v>52</v>
      </c>
      <c r="E623" t="s">
        <v>31</v>
      </c>
      <c r="F623">
        <v>8</v>
      </c>
      <c r="G623">
        <v>20928</v>
      </c>
      <c r="H623">
        <v>5050.7700000000004</v>
      </c>
    </row>
    <row r="624" spans="1:8" x14ac:dyDescent="0.3">
      <c r="A624" s="1">
        <v>45756</v>
      </c>
      <c r="B624" t="s">
        <v>276</v>
      </c>
      <c r="C624" t="s">
        <v>18</v>
      </c>
      <c r="D624" t="s">
        <v>36</v>
      </c>
      <c r="E624" t="s">
        <v>11</v>
      </c>
      <c r="F624">
        <v>1</v>
      </c>
      <c r="G624">
        <v>4268</v>
      </c>
      <c r="H624">
        <v>398.3</v>
      </c>
    </row>
    <row r="625" spans="1:8" x14ac:dyDescent="0.3">
      <c r="A625" s="1">
        <v>45979</v>
      </c>
      <c r="B625" t="s">
        <v>59</v>
      </c>
      <c r="C625" t="s">
        <v>35</v>
      </c>
      <c r="D625" t="s">
        <v>36</v>
      </c>
      <c r="E625" t="s">
        <v>11</v>
      </c>
      <c r="F625">
        <v>10</v>
      </c>
      <c r="G625">
        <v>29120</v>
      </c>
      <c r="H625">
        <v>3912.49</v>
      </c>
    </row>
    <row r="626" spans="1:8" x14ac:dyDescent="0.3">
      <c r="A626" s="1">
        <v>45856</v>
      </c>
      <c r="B626" t="s">
        <v>89</v>
      </c>
      <c r="C626" t="s">
        <v>18</v>
      </c>
      <c r="D626" t="s">
        <v>62</v>
      </c>
      <c r="E626" t="s">
        <v>27</v>
      </c>
      <c r="F626">
        <v>7</v>
      </c>
      <c r="G626">
        <v>1337</v>
      </c>
      <c r="H626">
        <v>181.09</v>
      </c>
    </row>
    <row r="627" spans="1:8" x14ac:dyDescent="0.3">
      <c r="A627" s="1">
        <v>45892</v>
      </c>
      <c r="B627" t="s">
        <v>95</v>
      </c>
      <c r="C627" t="s">
        <v>9</v>
      </c>
      <c r="D627" t="s">
        <v>30</v>
      </c>
      <c r="E627" t="s">
        <v>31</v>
      </c>
      <c r="F627">
        <v>1</v>
      </c>
      <c r="G627">
        <v>3340</v>
      </c>
      <c r="H627">
        <v>711.04</v>
      </c>
    </row>
    <row r="628" spans="1:8" x14ac:dyDescent="0.3">
      <c r="A628" s="1">
        <v>45734</v>
      </c>
      <c r="B628" t="s">
        <v>126</v>
      </c>
      <c r="C628" t="s">
        <v>16</v>
      </c>
      <c r="D628" t="s">
        <v>36</v>
      </c>
      <c r="E628" t="s">
        <v>11</v>
      </c>
      <c r="F628">
        <v>10</v>
      </c>
      <c r="G628">
        <v>16200</v>
      </c>
      <c r="H628">
        <v>3843.25</v>
      </c>
    </row>
    <row r="629" spans="1:8" x14ac:dyDescent="0.3">
      <c r="A629" s="1">
        <v>45709</v>
      </c>
      <c r="B629" t="s">
        <v>120</v>
      </c>
      <c r="C629" t="s">
        <v>35</v>
      </c>
      <c r="D629" t="s">
        <v>52</v>
      </c>
      <c r="E629" t="s">
        <v>31</v>
      </c>
      <c r="F629">
        <v>5</v>
      </c>
      <c r="G629">
        <v>27935</v>
      </c>
      <c r="H629">
        <v>6414.52</v>
      </c>
    </row>
    <row r="630" spans="1:8" x14ac:dyDescent="0.3">
      <c r="A630" s="1">
        <v>45854</v>
      </c>
      <c r="B630" t="s">
        <v>74</v>
      </c>
      <c r="C630" t="s">
        <v>16</v>
      </c>
      <c r="D630" t="s">
        <v>13</v>
      </c>
      <c r="E630" t="s">
        <v>14</v>
      </c>
      <c r="F630">
        <v>8</v>
      </c>
      <c r="G630">
        <v>24344</v>
      </c>
      <c r="H630">
        <v>4467.7</v>
      </c>
    </row>
    <row r="631" spans="1:8" x14ac:dyDescent="0.3">
      <c r="A631" s="1">
        <v>45799</v>
      </c>
      <c r="B631" t="s">
        <v>296</v>
      </c>
      <c r="C631" t="s">
        <v>18</v>
      </c>
      <c r="D631" t="s">
        <v>47</v>
      </c>
      <c r="E631" t="s">
        <v>44</v>
      </c>
      <c r="F631">
        <v>3</v>
      </c>
      <c r="G631">
        <v>45387</v>
      </c>
      <c r="H631">
        <v>8327.2199999999993</v>
      </c>
    </row>
    <row r="632" spans="1:8" x14ac:dyDescent="0.3">
      <c r="A632" s="1">
        <v>45860</v>
      </c>
      <c r="B632" t="s">
        <v>255</v>
      </c>
      <c r="C632" t="s">
        <v>35</v>
      </c>
      <c r="D632" t="s">
        <v>30</v>
      </c>
      <c r="E632" t="s">
        <v>31</v>
      </c>
      <c r="F632">
        <v>6</v>
      </c>
      <c r="G632">
        <v>13038</v>
      </c>
      <c r="H632">
        <v>1152.29</v>
      </c>
    </row>
    <row r="633" spans="1:8" x14ac:dyDescent="0.3">
      <c r="A633" s="1">
        <v>45795</v>
      </c>
      <c r="B633" t="s">
        <v>102</v>
      </c>
      <c r="C633" t="s">
        <v>16</v>
      </c>
      <c r="D633" t="s">
        <v>30</v>
      </c>
      <c r="E633" t="s">
        <v>31</v>
      </c>
      <c r="F633">
        <v>6</v>
      </c>
      <c r="G633">
        <v>7692</v>
      </c>
      <c r="H633">
        <v>1057.17</v>
      </c>
    </row>
    <row r="634" spans="1:8" x14ac:dyDescent="0.3">
      <c r="A634" s="1">
        <v>45801</v>
      </c>
      <c r="B634" t="s">
        <v>73</v>
      </c>
      <c r="C634" t="s">
        <v>16</v>
      </c>
      <c r="D634" t="s">
        <v>56</v>
      </c>
      <c r="E634" t="s">
        <v>31</v>
      </c>
      <c r="F634">
        <v>8</v>
      </c>
      <c r="G634">
        <v>5608</v>
      </c>
      <c r="H634">
        <v>1375.78</v>
      </c>
    </row>
    <row r="635" spans="1:8" x14ac:dyDescent="0.3">
      <c r="A635" s="1">
        <v>45811</v>
      </c>
      <c r="B635" t="s">
        <v>34</v>
      </c>
      <c r="C635" t="s">
        <v>35</v>
      </c>
      <c r="D635" t="s">
        <v>19</v>
      </c>
      <c r="E635" t="s">
        <v>20</v>
      </c>
      <c r="F635">
        <v>8</v>
      </c>
      <c r="G635">
        <v>8736</v>
      </c>
      <c r="H635">
        <v>1925.33</v>
      </c>
    </row>
    <row r="636" spans="1:8" x14ac:dyDescent="0.3">
      <c r="A636" s="1">
        <v>45871</v>
      </c>
      <c r="B636" t="s">
        <v>250</v>
      </c>
      <c r="C636" t="s">
        <v>16</v>
      </c>
      <c r="D636" t="s">
        <v>26</v>
      </c>
      <c r="E636" t="s">
        <v>27</v>
      </c>
      <c r="F636">
        <v>11</v>
      </c>
      <c r="G636">
        <v>1122</v>
      </c>
      <c r="H636">
        <v>125.61</v>
      </c>
    </row>
    <row r="637" spans="1:8" x14ac:dyDescent="0.3">
      <c r="A637" s="1">
        <v>45866</v>
      </c>
      <c r="B637" t="s">
        <v>297</v>
      </c>
      <c r="C637" t="s">
        <v>35</v>
      </c>
      <c r="D637" t="s">
        <v>19</v>
      </c>
      <c r="E637" t="s">
        <v>20</v>
      </c>
      <c r="F637">
        <v>8</v>
      </c>
      <c r="G637">
        <v>8616</v>
      </c>
      <c r="H637">
        <v>1445.81</v>
      </c>
    </row>
    <row r="638" spans="1:8" x14ac:dyDescent="0.3">
      <c r="A638" s="1">
        <v>45686</v>
      </c>
      <c r="B638" t="s">
        <v>98</v>
      </c>
      <c r="C638" t="s">
        <v>16</v>
      </c>
      <c r="D638" t="s">
        <v>62</v>
      </c>
      <c r="E638" t="s">
        <v>27</v>
      </c>
      <c r="F638">
        <v>3</v>
      </c>
      <c r="G638">
        <v>198</v>
      </c>
      <c r="H638">
        <v>26.31</v>
      </c>
    </row>
    <row r="639" spans="1:8" x14ac:dyDescent="0.3">
      <c r="A639" s="1">
        <v>45727</v>
      </c>
      <c r="B639" t="s">
        <v>250</v>
      </c>
      <c r="C639" t="s">
        <v>9</v>
      </c>
      <c r="D639" t="s">
        <v>52</v>
      </c>
      <c r="E639" t="s">
        <v>31</v>
      </c>
      <c r="F639">
        <v>9</v>
      </c>
      <c r="G639">
        <v>52722</v>
      </c>
      <c r="H639">
        <v>4477.21</v>
      </c>
    </row>
    <row r="640" spans="1:8" x14ac:dyDescent="0.3">
      <c r="A640" s="1">
        <v>45760</v>
      </c>
      <c r="B640" t="s">
        <v>170</v>
      </c>
      <c r="C640" t="s">
        <v>35</v>
      </c>
      <c r="D640" t="s">
        <v>56</v>
      </c>
      <c r="E640" t="s">
        <v>31</v>
      </c>
      <c r="F640">
        <v>1</v>
      </c>
      <c r="G640">
        <v>1010</v>
      </c>
      <c r="H640">
        <v>86.48</v>
      </c>
    </row>
    <row r="641" spans="1:8" x14ac:dyDescent="0.3">
      <c r="A641" s="1">
        <v>45842</v>
      </c>
      <c r="B641" t="s">
        <v>25</v>
      </c>
      <c r="C641" t="s">
        <v>9</v>
      </c>
      <c r="D641" t="s">
        <v>19</v>
      </c>
      <c r="E641" t="s">
        <v>20</v>
      </c>
      <c r="F641">
        <v>4</v>
      </c>
      <c r="G641">
        <v>2320</v>
      </c>
      <c r="H641">
        <v>330.88</v>
      </c>
    </row>
    <row r="642" spans="1:8" x14ac:dyDescent="0.3">
      <c r="A642" s="1">
        <v>45861</v>
      </c>
      <c r="B642" t="s">
        <v>298</v>
      </c>
      <c r="C642" t="s">
        <v>29</v>
      </c>
      <c r="D642" t="s">
        <v>13</v>
      </c>
      <c r="E642" t="s">
        <v>14</v>
      </c>
      <c r="F642">
        <v>2</v>
      </c>
      <c r="G642">
        <v>6980</v>
      </c>
      <c r="H642">
        <v>594.66999999999996</v>
      </c>
    </row>
    <row r="643" spans="1:8" x14ac:dyDescent="0.3">
      <c r="A643" s="1">
        <v>45962</v>
      </c>
      <c r="B643" t="s">
        <v>160</v>
      </c>
      <c r="C643" t="s">
        <v>9</v>
      </c>
      <c r="D643" t="s">
        <v>43</v>
      </c>
      <c r="E643" t="s">
        <v>44</v>
      </c>
      <c r="F643">
        <v>3</v>
      </c>
      <c r="G643">
        <v>35325</v>
      </c>
      <c r="H643">
        <v>6350.36</v>
      </c>
    </row>
    <row r="644" spans="1:8" x14ac:dyDescent="0.3">
      <c r="A644" s="1">
        <v>45741</v>
      </c>
      <c r="B644" t="s">
        <v>296</v>
      </c>
      <c r="C644" t="s">
        <v>16</v>
      </c>
      <c r="D644" t="s">
        <v>56</v>
      </c>
      <c r="E644" t="s">
        <v>31</v>
      </c>
      <c r="F644">
        <v>5</v>
      </c>
      <c r="G644">
        <v>3425</v>
      </c>
      <c r="H644">
        <v>439.98</v>
      </c>
    </row>
    <row r="645" spans="1:8" x14ac:dyDescent="0.3">
      <c r="A645" s="1">
        <v>45741</v>
      </c>
      <c r="B645" t="s">
        <v>290</v>
      </c>
      <c r="C645" t="s">
        <v>18</v>
      </c>
      <c r="D645" t="s">
        <v>56</v>
      </c>
      <c r="E645" t="s">
        <v>31</v>
      </c>
      <c r="F645">
        <v>10</v>
      </c>
      <c r="G645">
        <v>9380</v>
      </c>
      <c r="H645">
        <v>2117.15</v>
      </c>
    </row>
    <row r="646" spans="1:8" x14ac:dyDescent="0.3">
      <c r="A646" s="1">
        <v>45763</v>
      </c>
      <c r="B646" t="s">
        <v>230</v>
      </c>
      <c r="C646" t="s">
        <v>9</v>
      </c>
      <c r="D646" t="s">
        <v>22</v>
      </c>
      <c r="E646" t="s">
        <v>11</v>
      </c>
      <c r="F646">
        <v>11</v>
      </c>
      <c r="G646">
        <v>12518</v>
      </c>
      <c r="H646">
        <v>2093.73</v>
      </c>
    </row>
    <row r="647" spans="1:8" x14ac:dyDescent="0.3">
      <c r="A647" s="1">
        <v>45725</v>
      </c>
      <c r="B647" t="s">
        <v>207</v>
      </c>
      <c r="C647" t="s">
        <v>9</v>
      </c>
      <c r="D647" t="s">
        <v>13</v>
      </c>
      <c r="E647" t="s">
        <v>14</v>
      </c>
      <c r="F647">
        <v>3</v>
      </c>
      <c r="G647">
        <v>9486</v>
      </c>
      <c r="H647">
        <v>2050.37</v>
      </c>
    </row>
    <row r="648" spans="1:8" x14ac:dyDescent="0.3">
      <c r="A648" s="1">
        <v>45969</v>
      </c>
      <c r="B648" t="s">
        <v>152</v>
      </c>
      <c r="C648" t="s">
        <v>9</v>
      </c>
      <c r="D648" t="s">
        <v>52</v>
      </c>
      <c r="E648" t="s">
        <v>31</v>
      </c>
      <c r="F648">
        <v>5</v>
      </c>
      <c r="G648">
        <v>17275</v>
      </c>
      <c r="H648">
        <v>2626.61</v>
      </c>
    </row>
    <row r="649" spans="1:8" x14ac:dyDescent="0.3">
      <c r="A649" s="1">
        <v>45836</v>
      </c>
      <c r="B649" t="s">
        <v>209</v>
      </c>
      <c r="C649" t="s">
        <v>18</v>
      </c>
      <c r="D649" t="s">
        <v>43</v>
      </c>
      <c r="E649" t="s">
        <v>44</v>
      </c>
      <c r="F649">
        <v>5</v>
      </c>
      <c r="G649">
        <v>37875</v>
      </c>
      <c r="H649">
        <v>6034.95</v>
      </c>
    </row>
    <row r="650" spans="1:8" x14ac:dyDescent="0.3">
      <c r="A650" s="1">
        <v>45977</v>
      </c>
      <c r="B650" t="s">
        <v>179</v>
      </c>
      <c r="C650" t="s">
        <v>18</v>
      </c>
      <c r="D650" t="s">
        <v>47</v>
      </c>
      <c r="E650" t="s">
        <v>44</v>
      </c>
      <c r="F650">
        <v>10</v>
      </c>
      <c r="G650">
        <v>66760</v>
      </c>
      <c r="H650">
        <v>5424.19</v>
      </c>
    </row>
    <row r="651" spans="1:8" x14ac:dyDescent="0.3">
      <c r="A651" s="1">
        <v>45989</v>
      </c>
      <c r="B651" t="s">
        <v>164</v>
      </c>
      <c r="C651" t="s">
        <v>9</v>
      </c>
      <c r="D651" t="s">
        <v>26</v>
      </c>
      <c r="E651" t="s">
        <v>27</v>
      </c>
      <c r="F651">
        <v>10</v>
      </c>
      <c r="G651">
        <v>1520</v>
      </c>
      <c r="H651">
        <v>198.73</v>
      </c>
    </row>
    <row r="652" spans="1:8" x14ac:dyDescent="0.3">
      <c r="A652" s="1">
        <v>45690</v>
      </c>
      <c r="B652" t="s">
        <v>229</v>
      </c>
      <c r="C652" t="s">
        <v>29</v>
      </c>
      <c r="D652" t="s">
        <v>40</v>
      </c>
      <c r="E652" t="s">
        <v>11</v>
      </c>
      <c r="F652">
        <v>5</v>
      </c>
      <c r="G652">
        <v>93270</v>
      </c>
      <c r="H652">
        <v>21121.32</v>
      </c>
    </row>
    <row r="653" spans="1:8" x14ac:dyDescent="0.3">
      <c r="A653" s="1">
        <v>46022</v>
      </c>
      <c r="B653" t="s">
        <v>299</v>
      </c>
      <c r="C653" t="s">
        <v>18</v>
      </c>
      <c r="D653" t="s">
        <v>30</v>
      </c>
      <c r="E653" t="s">
        <v>31</v>
      </c>
      <c r="F653">
        <v>11</v>
      </c>
      <c r="G653">
        <v>26653</v>
      </c>
      <c r="H653">
        <v>2985.7</v>
      </c>
    </row>
    <row r="654" spans="1:8" x14ac:dyDescent="0.3">
      <c r="A654" s="1">
        <v>45781</v>
      </c>
      <c r="B654" t="s">
        <v>8</v>
      </c>
      <c r="C654" t="s">
        <v>18</v>
      </c>
      <c r="D654" t="s">
        <v>30</v>
      </c>
      <c r="E654" t="s">
        <v>31</v>
      </c>
      <c r="F654">
        <v>1</v>
      </c>
      <c r="G654">
        <v>2855</v>
      </c>
      <c r="H654">
        <v>548.99</v>
      </c>
    </row>
    <row r="655" spans="1:8" x14ac:dyDescent="0.3">
      <c r="A655" s="1">
        <v>45671</v>
      </c>
      <c r="B655" t="s">
        <v>116</v>
      </c>
      <c r="C655" t="s">
        <v>18</v>
      </c>
      <c r="D655" t="s">
        <v>13</v>
      </c>
      <c r="E655" t="s">
        <v>14</v>
      </c>
      <c r="F655">
        <v>8</v>
      </c>
      <c r="G655">
        <v>15280</v>
      </c>
      <c r="H655">
        <v>1896.29</v>
      </c>
    </row>
    <row r="656" spans="1:8" x14ac:dyDescent="0.3">
      <c r="A656" s="1">
        <v>45856</v>
      </c>
      <c r="B656" t="s">
        <v>289</v>
      </c>
      <c r="C656" t="s">
        <v>35</v>
      </c>
      <c r="D656" t="s">
        <v>19</v>
      </c>
      <c r="E656" t="s">
        <v>20</v>
      </c>
      <c r="F656">
        <v>1</v>
      </c>
      <c r="G656">
        <v>897</v>
      </c>
      <c r="H656">
        <v>179.73</v>
      </c>
    </row>
    <row r="657" spans="1:8" x14ac:dyDescent="0.3">
      <c r="A657" s="1">
        <v>45755</v>
      </c>
      <c r="B657" t="s">
        <v>255</v>
      </c>
      <c r="C657" t="s">
        <v>9</v>
      </c>
      <c r="D657" t="s">
        <v>40</v>
      </c>
      <c r="E657" t="s">
        <v>11</v>
      </c>
      <c r="F657">
        <v>12</v>
      </c>
      <c r="G657">
        <v>183432</v>
      </c>
      <c r="H657">
        <v>36076.32</v>
      </c>
    </row>
    <row r="658" spans="1:8" x14ac:dyDescent="0.3">
      <c r="A658" s="1">
        <v>46001</v>
      </c>
      <c r="B658" t="s">
        <v>139</v>
      </c>
      <c r="C658" t="s">
        <v>29</v>
      </c>
      <c r="D658" t="s">
        <v>40</v>
      </c>
      <c r="E658" t="s">
        <v>11</v>
      </c>
      <c r="F658">
        <v>9</v>
      </c>
      <c r="G658">
        <v>160524</v>
      </c>
      <c r="H658">
        <v>35912.629999999997</v>
      </c>
    </row>
    <row r="659" spans="1:8" x14ac:dyDescent="0.3">
      <c r="A659" s="1">
        <v>45808</v>
      </c>
      <c r="B659" t="s">
        <v>285</v>
      </c>
      <c r="C659" t="s">
        <v>18</v>
      </c>
      <c r="D659" t="s">
        <v>10</v>
      </c>
      <c r="E659" t="s">
        <v>11</v>
      </c>
      <c r="F659">
        <v>8</v>
      </c>
      <c r="G659">
        <v>129536</v>
      </c>
      <c r="H659">
        <v>26678.74</v>
      </c>
    </row>
    <row r="660" spans="1:8" x14ac:dyDescent="0.3">
      <c r="A660" s="1">
        <v>45751</v>
      </c>
      <c r="B660" t="s">
        <v>121</v>
      </c>
      <c r="C660" t="s">
        <v>35</v>
      </c>
      <c r="D660" t="s">
        <v>13</v>
      </c>
      <c r="E660" t="s">
        <v>14</v>
      </c>
      <c r="F660">
        <v>6</v>
      </c>
      <c r="G660">
        <v>20280</v>
      </c>
      <c r="H660">
        <v>1930.27</v>
      </c>
    </row>
    <row r="661" spans="1:8" x14ac:dyDescent="0.3">
      <c r="A661" s="1">
        <v>45815</v>
      </c>
      <c r="B661" t="s">
        <v>300</v>
      </c>
      <c r="C661" t="s">
        <v>16</v>
      </c>
      <c r="D661" t="s">
        <v>47</v>
      </c>
      <c r="E661" t="s">
        <v>44</v>
      </c>
      <c r="F661">
        <v>6</v>
      </c>
      <c r="G661">
        <v>66534</v>
      </c>
      <c r="H661">
        <v>8269.85</v>
      </c>
    </row>
    <row r="662" spans="1:8" x14ac:dyDescent="0.3">
      <c r="A662" s="1">
        <v>45718</v>
      </c>
      <c r="B662" t="s">
        <v>301</v>
      </c>
      <c r="C662" t="s">
        <v>16</v>
      </c>
      <c r="D662" t="s">
        <v>43</v>
      </c>
      <c r="E662" t="s">
        <v>44</v>
      </c>
      <c r="F662">
        <v>1</v>
      </c>
      <c r="G662">
        <v>14393</v>
      </c>
      <c r="H662">
        <v>2579.34</v>
      </c>
    </row>
    <row r="663" spans="1:8" x14ac:dyDescent="0.3">
      <c r="A663" s="1">
        <v>45899</v>
      </c>
      <c r="B663" t="s">
        <v>197</v>
      </c>
      <c r="C663" t="s">
        <v>18</v>
      </c>
      <c r="D663" t="s">
        <v>30</v>
      </c>
      <c r="E663" t="s">
        <v>31</v>
      </c>
      <c r="F663">
        <v>4</v>
      </c>
      <c r="G663">
        <v>12996</v>
      </c>
      <c r="H663">
        <v>1304.3900000000001</v>
      </c>
    </row>
    <row r="664" spans="1:8" x14ac:dyDescent="0.3">
      <c r="A664" s="1">
        <v>45810</v>
      </c>
      <c r="B664" t="s">
        <v>203</v>
      </c>
      <c r="C664" t="s">
        <v>29</v>
      </c>
      <c r="D664" t="s">
        <v>47</v>
      </c>
      <c r="E664" t="s">
        <v>44</v>
      </c>
      <c r="F664">
        <v>1</v>
      </c>
      <c r="G664">
        <v>7470</v>
      </c>
      <c r="H664">
        <v>772.04</v>
      </c>
    </row>
    <row r="665" spans="1:8" x14ac:dyDescent="0.3">
      <c r="A665" s="1">
        <v>45867</v>
      </c>
      <c r="B665" t="s">
        <v>48</v>
      </c>
      <c r="C665" t="s">
        <v>29</v>
      </c>
      <c r="D665" t="s">
        <v>26</v>
      </c>
      <c r="E665" t="s">
        <v>27</v>
      </c>
      <c r="F665">
        <v>8</v>
      </c>
      <c r="G665">
        <v>928</v>
      </c>
      <c r="H665">
        <v>124.15</v>
      </c>
    </row>
    <row r="666" spans="1:8" x14ac:dyDescent="0.3">
      <c r="A666" s="1">
        <v>45699</v>
      </c>
      <c r="B666" t="s">
        <v>224</v>
      </c>
      <c r="C666" t="s">
        <v>9</v>
      </c>
      <c r="D666" t="s">
        <v>43</v>
      </c>
      <c r="E666" t="s">
        <v>44</v>
      </c>
      <c r="F666">
        <v>6</v>
      </c>
      <c r="G666">
        <v>86028</v>
      </c>
      <c r="H666">
        <v>21311.62</v>
      </c>
    </row>
    <row r="667" spans="1:8" x14ac:dyDescent="0.3">
      <c r="A667" s="1">
        <v>45687</v>
      </c>
      <c r="B667" t="s">
        <v>101</v>
      </c>
      <c r="C667" t="s">
        <v>18</v>
      </c>
      <c r="D667" t="s">
        <v>54</v>
      </c>
      <c r="E667" t="s">
        <v>11</v>
      </c>
      <c r="F667">
        <v>8</v>
      </c>
      <c r="G667">
        <v>431696</v>
      </c>
      <c r="H667">
        <v>49901.9</v>
      </c>
    </row>
    <row r="668" spans="1:8" x14ac:dyDescent="0.3">
      <c r="A668" s="1">
        <v>45739</v>
      </c>
      <c r="B668" t="s">
        <v>116</v>
      </c>
      <c r="C668" t="s">
        <v>16</v>
      </c>
      <c r="D668" t="s">
        <v>43</v>
      </c>
      <c r="E668" t="s">
        <v>44</v>
      </c>
      <c r="F668">
        <v>2</v>
      </c>
      <c r="G668">
        <v>12240</v>
      </c>
      <c r="H668">
        <v>2257.81</v>
      </c>
    </row>
    <row r="669" spans="1:8" x14ac:dyDescent="0.3">
      <c r="A669" s="1">
        <v>45877</v>
      </c>
      <c r="B669" t="s">
        <v>302</v>
      </c>
      <c r="C669" t="s">
        <v>9</v>
      </c>
      <c r="D669" t="s">
        <v>43</v>
      </c>
      <c r="E669" t="s">
        <v>44</v>
      </c>
      <c r="F669">
        <v>7</v>
      </c>
      <c r="G669">
        <v>28532</v>
      </c>
      <c r="H669">
        <v>2465.54</v>
      </c>
    </row>
    <row r="670" spans="1:8" x14ac:dyDescent="0.3">
      <c r="A670" s="1">
        <v>45849</v>
      </c>
      <c r="B670" t="s">
        <v>303</v>
      </c>
      <c r="C670" t="s">
        <v>29</v>
      </c>
      <c r="D670" t="s">
        <v>54</v>
      </c>
      <c r="E670" t="s">
        <v>11</v>
      </c>
      <c r="F670">
        <v>6</v>
      </c>
      <c r="G670">
        <v>374400</v>
      </c>
      <c r="H670">
        <v>42081.83</v>
      </c>
    </row>
    <row r="671" spans="1:8" x14ac:dyDescent="0.3">
      <c r="A671" s="1">
        <v>45785</v>
      </c>
      <c r="B671" t="s">
        <v>304</v>
      </c>
      <c r="C671" t="s">
        <v>9</v>
      </c>
      <c r="D671" t="s">
        <v>24</v>
      </c>
      <c r="E671" t="s">
        <v>11</v>
      </c>
      <c r="F671">
        <v>12</v>
      </c>
      <c r="G671">
        <v>27552</v>
      </c>
      <c r="H671">
        <v>3817.04</v>
      </c>
    </row>
    <row r="672" spans="1:8" x14ac:dyDescent="0.3">
      <c r="A672" s="1">
        <v>45854</v>
      </c>
      <c r="B672" t="s">
        <v>165</v>
      </c>
      <c r="C672" t="s">
        <v>16</v>
      </c>
      <c r="D672" t="s">
        <v>62</v>
      </c>
      <c r="E672" t="s">
        <v>27</v>
      </c>
      <c r="F672">
        <v>10</v>
      </c>
      <c r="G672">
        <v>1280</v>
      </c>
      <c r="H672">
        <v>138.74</v>
      </c>
    </row>
    <row r="673" spans="1:8" x14ac:dyDescent="0.3">
      <c r="A673" s="1">
        <v>45806</v>
      </c>
      <c r="B673" t="s">
        <v>39</v>
      </c>
      <c r="C673" t="s">
        <v>29</v>
      </c>
      <c r="D673" t="s">
        <v>43</v>
      </c>
      <c r="E673" t="s">
        <v>44</v>
      </c>
      <c r="F673">
        <v>12</v>
      </c>
      <c r="G673">
        <v>150288</v>
      </c>
      <c r="H673">
        <v>27259.67</v>
      </c>
    </row>
    <row r="674" spans="1:8" x14ac:dyDescent="0.3">
      <c r="A674" s="1">
        <v>46009</v>
      </c>
      <c r="B674" t="s">
        <v>245</v>
      </c>
      <c r="C674" t="s">
        <v>35</v>
      </c>
      <c r="D674" t="s">
        <v>36</v>
      </c>
      <c r="E674" t="s">
        <v>11</v>
      </c>
      <c r="F674">
        <v>6</v>
      </c>
      <c r="G674">
        <v>28890</v>
      </c>
      <c r="H674">
        <v>4075.59</v>
      </c>
    </row>
    <row r="675" spans="1:8" x14ac:dyDescent="0.3">
      <c r="A675" s="1">
        <v>45864</v>
      </c>
      <c r="B675" t="s">
        <v>274</v>
      </c>
      <c r="C675" t="s">
        <v>35</v>
      </c>
      <c r="D675" t="s">
        <v>54</v>
      </c>
      <c r="E675" t="s">
        <v>11</v>
      </c>
      <c r="F675">
        <v>4</v>
      </c>
      <c r="G675">
        <v>209400</v>
      </c>
      <c r="H675">
        <v>42637.760000000002</v>
      </c>
    </row>
    <row r="676" spans="1:8" x14ac:dyDescent="0.3">
      <c r="A676" s="1">
        <v>45669</v>
      </c>
      <c r="B676" t="s">
        <v>194</v>
      </c>
      <c r="C676" t="s">
        <v>18</v>
      </c>
      <c r="D676" t="s">
        <v>26</v>
      </c>
      <c r="E676" t="s">
        <v>27</v>
      </c>
      <c r="F676">
        <v>9</v>
      </c>
      <c r="G676">
        <v>1107</v>
      </c>
      <c r="H676">
        <v>111.74</v>
      </c>
    </row>
    <row r="677" spans="1:8" x14ac:dyDescent="0.3">
      <c r="A677" s="1">
        <v>45985</v>
      </c>
      <c r="B677" t="s">
        <v>205</v>
      </c>
      <c r="C677" t="s">
        <v>9</v>
      </c>
      <c r="D677" t="s">
        <v>22</v>
      </c>
      <c r="E677" t="s">
        <v>11</v>
      </c>
      <c r="F677">
        <v>9</v>
      </c>
      <c r="G677">
        <v>14184</v>
      </c>
      <c r="H677">
        <v>1251.8800000000001</v>
      </c>
    </row>
    <row r="678" spans="1:8" x14ac:dyDescent="0.3">
      <c r="A678" s="1">
        <v>45713</v>
      </c>
      <c r="B678" t="s">
        <v>190</v>
      </c>
      <c r="C678" t="s">
        <v>29</v>
      </c>
      <c r="D678" t="s">
        <v>13</v>
      </c>
      <c r="E678" t="s">
        <v>14</v>
      </c>
      <c r="F678">
        <v>1</v>
      </c>
      <c r="G678">
        <v>897</v>
      </c>
      <c r="H678">
        <v>176.94</v>
      </c>
    </row>
    <row r="679" spans="1:8" x14ac:dyDescent="0.3">
      <c r="A679" s="1">
        <v>45852</v>
      </c>
      <c r="B679" t="s">
        <v>274</v>
      </c>
      <c r="C679" t="s">
        <v>18</v>
      </c>
      <c r="D679" t="s">
        <v>10</v>
      </c>
      <c r="E679" t="s">
        <v>11</v>
      </c>
      <c r="F679">
        <v>9</v>
      </c>
      <c r="G679">
        <v>182529</v>
      </c>
      <c r="H679">
        <v>29322.81</v>
      </c>
    </row>
    <row r="680" spans="1:8" x14ac:dyDescent="0.3">
      <c r="A680" s="1">
        <v>46013</v>
      </c>
      <c r="B680" t="s">
        <v>50</v>
      </c>
      <c r="C680" t="s">
        <v>9</v>
      </c>
      <c r="D680" t="s">
        <v>13</v>
      </c>
      <c r="E680" t="s">
        <v>14</v>
      </c>
      <c r="F680">
        <v>11</v>
      </c>
      <c r="G680">
        <v>8118</v>
      </c>
      <c r="H680">
        <v>1065</v>
      </c>
    </row>
    <row r="681" spans="1:8" x14ac:dyDescent="0.3">
      <c r="A681" s="1">
        <v>45924</v>
      </c>
      <c r="B681" t="s">
        <v>129</v>
      </c>
      <c r="C681" t="s">
        <v>16</v>
      </c>
      <c r="D681" t="s">
        <v>22</v>
      </c>
      <c r="E681" t="s">
        <v>11</v>
      </c>
      <c r="F681">
        <v>10</v>
      </c>
      <c r="G681">
        <v>15400</v>
      </c>
      <c r="H681">
        <v>3066.5</v>
      </c>
    </row>
    <row r="682" spans="1:8" x14ac:dyDescent="0.3">
      <c r="A682" s="1">
        <v>45711</v>
      </c>
      <c r="B682" t="s">
        <v>109</v>
      </c>
      <c r="C682" t="s">
        <v>29</v>
      </c>
      <c r="D682" t="s">
        <v>62</v>
      </c>
      <c r="E682" t="s">
        <v>27</v>
      </c>
      <c r="F682">
        <v>12</v>
      </c>
      <c r="G682">
        <v>2496</v>
      </c>
      <c r="H682">
        <v>249.64</v>
      </c>
    </row>
    <row r="683" spans="1:8" x14ac:dyDescent="0.3">
      <c r="A683" s="1">
        <v>45712</v>
      </c>
      <c r="B683" t="s">
        <v>175</v>
      </c>
      <c r="C683" t="s">
        <v>9</v>
      </c>
      <c r="D683" t="s">
        <v>43</v>
      </c>
      <c r="E683" t="s">
        <v>44</v>
      </c>
      <c r="F683">
        <v>4</v>
      </c>
      <c r="G683">
        <v>55908</v>
      </c>
      <c r="H683">
        <v>6371.13</v>
      </c>
    </row>
    <row r="684" spans="1:8" x14ac:dyDescent="0.3">
      <c r="A684" s="1">
        <v>45925</v>
      </c>
      <c r="B684" t="s">
        <v>244</v>
      </c>
      <c r="C684" t="s">
        <v>29</v>
      </c>
      <c r="D684" t="s">
        <v>24</v>
      </c>
      <c r="E684" t="s">
        <v>11</v>
      </c>
      <c r="F684">
        <v>6</v>
      </c>
      <c r="G684">
        <v>11640</v>
      </c>
      <c r="H684">
        <v>1742.03</v>
      </c>
    </row>
    <row r="685" spans="1:8" x14ac:dyDescent="0.3">
      <c r="A685" s="1">
        <v>45938</v>
      </c>
      <c r="B685" t="s">
        <v>305</v>
      </c>
      <c r="C685" t="s">
        <v>9</v>
      </c>
      <c r="D685" t="s">
        <v>43</v>
      </c>
      <c r="E685" t="s">
        <v>44</v>
      </c>
      <c r="F685">
        <v>4</v>
      </c>
      <c r="G685">
        <v>47500</v>
      </c>
      <c r="H685">
        <v>6469.62</v>
      </c>
    </row>
    <row r="686" spans="1:8" x14ac:dyDescent="0.3">
      <c r="A686" s="1">
        <v>46001</v>
      </c>
      <c r="B686" t="s">
        <v>304</v>
      </c>
      <c r="C686" t="s">
        <v>16</v>
      </c>
      <c r="D686" t="s">
        <v>10</v>
      </c>
      <c r="E686" t="s">
        <v>11</v>
      </c>
      <c r="F686">
        <v>2</v>
      </c>
      <c r="G686">
        <v>61626</v>
      </c>
      <c r="H686">
        <v>11939.03</v>
      </c>
    </row>
    <row r="687" spans="1:8" x14ac:dyDescent="0.3">
      <c r="A687" s="1">
        <v>45919</v>
      </c>
      <c r="B687" t="s">
        <v>17</v>
      </c>
      <c r="C687" t="s">
        <v>29</v>
      </c>
      <c r="D687" t="s">
        <v>10</v>
      </c>
      <c r="E687" t="s">
        <v>11</v>
      </c>
      <c r="F687">
        <v>12</v>
      </c>
      <c r="G687">
        <v>183828</v>
      </c>
      <c r="H687">
        <v>42981.279999999999</v>
      </c>
    </row>
    <row r="688" spans="1:8" x14ac:dyDescent="0.3">
      <c r="A688" s="1">
        <v>45809</v>
      </c>
      <c r="B688" t="s">
        <v>232</v>
      </c>
      <c r="C688" t="s">
        <v>35</v>
      </c>
      <c r="D688" t="s">
        <v>22</v>
      </c>
      <c r="E688" t="s">
        <v>11</v>
      </c>
      <c r="F688">
        <v>8</v>
      </c>
      <c r="G688">
        <v>3216</v>
      </c>
      <c r="H688">
        <v>311.85000000000002</v>
      </c>
    </row>
    <row r="689" spans="1:8" x14ac:dyDescent="0.3">
      <c r="A689" s="1">
        <v>45678</v>
      </c>
      <c r="B689" t="s">
        <v>39</v>
      </c>
      <c r="C689" t="s">
        <v>16</v>
      </c>
      <c r="D689" t="s">
        <v>56</v>
      </c>
      <c r="E689" t="s">
        <v>31</v>
      </c>
      <c r="F689">
        <v>5</v>
      </c>
      <c r="G689">
        <v>6185</v>
      </c>
      <c r="H689">
        <v>1337.64</v>
      </c>
    </row>
    <row r="690" spans="1:8" x14ac:dyDescent="0.3">
      <c r="A690" s="1">
        <v>45717</v>
      </c>
      <c r="B690" t="s">
        <v>283</v>
      </c>
      <c r="C690" t="s">
        <v>9</v>
      </c>
      <c r="D690" t="s">
        <v>10</v>
      </c>
      <c r="E690" t="s">
        <v>11</v>
      </c>
      <c r="F690">
        <v>1</v>
      </c>
      <c r="G690">
        <v>12316</v>
      </c>
      <c r="H690">
        <v>2769.13</v>
      </c>
    </row>
    <row r="691" spans="1:8" x14ac:dyDescent="0.3">
      <c r="A691" s="1">
        <v>45841</v>
      </c>
      <c r="B691" t="s">
        <v>185</v>
      </c>
      <c r="C691" t="s">
        <v>29</v>
      </c>
      <c r="D691" t="s">
        <v>30</v>
      </c>
      <c r="E691" t="s">
        <v>31</v>
      </c>
      <c r="F691">
        <v>8</v>
      </c>
      <c r="G691">
        <v>18384</v>
      </c>
      <c r="H691">
        <v>4216.2</v>
      </c>
    </row>
    <row r="692" spans="1:8" x14ac:dyDescent="0.3">
      <c r="A692" s="1">
        <v>45833</v>
      </c>
      <c r="B692" t="s">
        <v>75</v>
      </c>
      <c r="C692" t="s">
        <v>16</v>
      </c>
      <c r="D692" t="s">
        <v>36</v>
      </c>
      <c r="E692" t="s">
        <v>11</v>
      </c>
      <c r="F692">
        <v>2</v>
      </c>
      <c r="G692">
        <v>8166</v>
      </c>
      <c r="H692">
        <v>1208.92</v>
      </c>
    </row>
    <row r="693" spans="1:8" x14ac:dyDescent="0.3">
      <c r="A693" s="1">
        <v>45855</v>
      </c>
      <c r="B693" t="s">
        <v>258</v>
      </c>
      <c r="C693" t="s">
        <v>9</v>
      </c>
      <c r="D693" t="s">
        <v>19</v>
      </c>
      <c r="E693" t="s">
        <v>20</v>
      </c>
      <c r="F693">
        <v>8</v>
      </c>
      <c r="G693">
        <v>8952</v>
      </c>
      <c r="H693">
        <v>1357.98</v>
      </c>
    </row>
    <row r="694" spans="1:8" x14ac:dyDescent="0.3">
      <c r="A694" s="1">
        <v>45725</v>
      </c>
      <c r="B694" t="s">
        <v>258</v>
      </c>
      <c r="C694" t="s">
        <v>35</v>
      </c>
      <c r="D694" t="s">
        <v>19</v>
      </c>
      <c r="E694" t="s">
        <v>20</v>
      </c>
      <c r="F694">
        <v>12</v>
      </c>
      <c r="G694">
        <v>4320</v>
      </c>
      <c r="H694">
        <v>1066.46</v>
      </c>
    </row>
    <row r="695" spans="1:8" x14ac:dyDescent="0.3">
      <c r="A695" s="1">
        <v>45871</v>
      </c>
      <c r="B695" t="s">
        <v>306</v>
      </c>
      <c r="C695" t="s">
        <v>35</v>
      </c>
      <c r="D695" t="s">
        <v>30</v>
      </c>
      <c r="E695" t="s">
        <v>31</v>
      </c>
      <c r="F695">
        <v>10</v>
      </c>
      <c r="G695">
        <v>31770</v>
      </c>
      <c r="H695">
        <v>6874.55</v>
      </c>
    </row>
    <row r="696" spans="1:8" x14ac:dyDescent="0.3">
      <c r="A696" s="1">
        <v>45970</v>
      </c>
      <c r="B696" t="s">
        <v>157</v>
      </c>
      <c r="C696" t="s">
        <v>9</v>
      </c>
      <c r="D696" t="s">
        <v>47</v>
      </c>
      <c r="E696" t="s">
        <v>44</v>
      </c>
      <c r="F696">
        <v>6</v>
      </c>
      <c r="G696">
        <v>90096</v>
      </c>
      <c r="H696">
        <v>7649.04</v>
      </c>
    </row>
    <row r="697" spans="1:8" x14ac:dyDescent="0.3">
      <c r="A697" s="1">
        <v>45907</v>
      </c>
      <c r="B697" t="s">
        <v>229</v>
      </c>
      <c r="C697" t="s">
        <v>35</v>
      </c>
      <c r="D697" t="s">
        <v>10</v>
      </c>
      <c r="E697" t="s">
        <v>11</v>
      </c>
      <c r="F697">
        <v>7</v>
      </c>
      <c r="G697">
        <v>185080</v>
      </c>
      <c r="H697">
        <v>16252.85</v>
      </c>
    </row>
    <row r="698" spans="1:8" x14ac:dyDescent="0.3">
      <c r="A698" s="1">
        <v>45818</v>
      </c>
      <c r="B698" t="s">
        <v>254</v>
      </c>
      <c r="C698" t="s">
        <v>16</v>
      </c>
      <c r="D698" t="s">
        <v>54</v>
      </c>
      <c r="E698" t="s">
        <v>11</v>
      </c>
      <c r="F698">
        <v>12</v>
      </c>
      <c r="G698">
        <v>746364</v>
      </c>
      <c r="H698">
        <v>157094.60999999999</v>
      </c>
    </row>
    <row r="699" spans="1:8" x14ac:dyDescent="0.3">
      <c r="A699" s="1">
        <v>45947</v>
      </c>
      <c r="B699" t="s">
        <v>264</v>
      </c>
      <c r="C699" t="s">
        <v>35</v>
      </c>
      <c r="D699" t="s">
        <v>24</v>
      </c>
      <c r="E699" t="s">
        <v>11</v>
      </c>
      <c r="F699">
        <v>11</v>
      </c>
      <c r="G699">
        <v>25168</v>
      </c>
      <c r="H699">
        <v>3460.88</v>
      </c>
    </row>
    <row r="700" spans="1:8" x14ac:dyDescent="0.3">
      <c r="A700" s="1">
        <v>46016</v>
      </c>
      <c r="B700" t="s">
        <v>17</v>
      </c>
      <c r="C700" t="s">
        <v>18</v>
      </c>
      <c r="D700" t="s">
        <v>26</v>
      </c>
      <c r="E700" t="s">
        <v>27</v>
      </c>
      <c r="F700">
        <v>2</v>
      </c>
      <c r="G700">
        <v>380</v>
      </c>
      <c r="H700">
        <v>73.150000000000006</v>
      </c>
    </row>
    <row r="701" spans="1:8" x14ac:dyDescent="0.3">
      <c r="A701" s="1">
        <v>45835</v>
      </c>
      <c r="B701" t="s">
        <v>248</v>
      </c>
      <c r="C701" t="s">
        <v>35</v>
      </c>
      <c r="D701" t="s">
        <v>13</v>
      </c>
      <c r="E701" t="s">
        <v>14</v>
      </c>
      <c r="F701">
        <v>11</v>
      </c>
      <c r="G701">
        <v>36597</v>
      </c>
      <c r="H701">
        <v>5322.27</v>
      </c>
    </row>
    <row r="702" spans="1:8" x14ac:dyDescent="0.3">
      <c r="A702" s="1">
        <v>45971</v>
      </c>
      <c r="B702" t="s">
        <v>163</v>
      </c>
      <c r="C702" t="s">
        <v>18</v>
      </c>
      <c r="D702" t="s">
        <v>54</v>
      </c>
      <c r="E702" t="s">
        <v>11</v>
      </c>
      <c r="F702">
        <v>1</v>
      </c>
      <c r="G702">
        <v>50142</v>
      </c>
      <c r="H702">
        <v>8320.89</v>
      </c>
    </row>
    <row r="703" spans="1:8" x14ac:dyDescent="0.3">
      <c r="A703" s="1">
        <v>45911</v>
      </c>
      <c r="B703" t="s">
        <v>41</v>
      </c>
      <c r="C703" t="s">
        <v>29</v>
      </c>
      <c r="D703" t="s">
        <v>56</v>
      </c>
      <c r="E703" t="s">
        <v>31</v>
      </c>
      <c r="F703">
        <v>3</v>
      </c>
      <c r="G703">
        <v>1959</v>
      </c>
      <c r="H703">
        <v>406.97</v>
      </c>
    </row>
    <row r="704" spans="1:8" x14ac:dyDescent="0.3">
      <c r="A704" s="1">
        <v>45827</v>
      </c>
      <c r="B704" t="s">
        <v>124</v>
      </c>
      <c r="C704" t="s">
        <v>16</v>
      </c>
      <c r="D704" t="s">
        <v>22</v>
      </c>
      <c r="E704" t="s">
        <v>11</v>
      </c>
      <c r="F704">
        <v>1</v>
      </c>
      <c r="G704">
        <v>1338</v>
      </c>
      <c r="H704">
        <v>157.69999999999999</v>
      </c>
    </row>
    <row r="705" spans="1:8" x14ac:dyDescent="0.3">
      <c r="A705" s="1">
        <v>45778</v>
      </c>
      <c r="B705" t="s">
        <v>143</v>
      </c>
      <c r="C705" t="s">
        <v>29</v>
      </c>
      <c r="D705" t="s">
        <v>10</v>
      </c>
      <c r="E705" t="s">
        <v>11</v>
      </c>
      <c r="F705">
        <v>8</v>
      </c>
      <c r="G705">
        <v>212440</v>
      </c>
      <c r="H705">
        <v>45932.59</v>
      </c>
    </row>
    <row r="706" spans="1:8" x14ac:dyDescent="0.3">
      <c r="A706" s="1">
        <v>45913</v>
      </c>
      <c r="B706" t="s">
        <v>65</v>
      </c>
      <c r="C706" t="s">
        <v>29</v>
      </c>
      <c r="D706" t="s">
        <v>43</v>
      </c>
      <c r="E706" t="s">
        <v>44</v>
      </c>
      <c r="F706">
        <v>6</v>
      </c>
      <c r="G706">
        <v>35664</v>
      </c>
      <c r="H706">
        <v>8798.81</v>
      </c>
    </row>
    <row r="707" spans="1:8" x14ac:dyDescent="0.3">
      <c r="A707" s="1">
        <v>45864</v>
      </c>
      <c r="B707" t="s">
        <v>292</v>
      </c>
      <c r="C707" t="s">
        <v>35</v>
      </c>
      <c r="D707" t="s">
        <v>47</v>
      </c>
      <c r="E707" t="s">
        <v>44</v>
      </c>
      <c r="F707">
        <v>1</v>
      </c>
      <c r="G707">
        <v>14128</v>
      </c>
      <c r="H707">
        <v>2449.04</v>
      </c>
    </row>
    <row r="708" spans="1:8" x14ac:dyDescent="0.3">
      <c r="A708" s="1">
        <v>45967</v>
      </c>
      <c r="B708" t="s">
        <v>38</v>
      </c>
      <c r="C708" t="s">
        <v>35</v>
      </c>
      <c r="D708" t="s">
        <v>26</v>
      </c>
      <c r="E708" t="s">
        <v>27</v>
      </c>
      <c r="F708">
        <v>11</v>
      </c>
      <c r="G708">
        <v>1727</v>
      </c>
      <c r="H708">
        <v>399.49</v>
      </c>
    </row>
    <row r="709" spans="1:8" x14ac:dyDescent="0.3">
      <c r="A709" s="1">
        <v>45993</v>
      </c>
      <c r="B709" t="s">
        <v>66</v>
      </c>
      <c r="C709" t="s">
        <v>35</v>
      </c>
      <c r="D709" t="s">
        <v>13</v>
      </c>
      <c r="E709" t="s">
        <v>14</v>
      </c>
      <c r="F709">
        <v>8</v>
      </c>
      <c r="G709">
        <v>16768</v>
      </c>
      <c r="H709">
        <v>2377.17</v>
      </c>
    </row>
    <row r="710" spans="1:8" x14ac:dyDescent="0.3">
      <c r="A710" s="1">
        <v>45772</v>
      </c>
      <c r="B710" t="s">
        <v>188</v>
      </c>
      <c r="C710" t="s">
        <v>29</v>
      </c>
      <c r="D710" t="s">
        <v>56</v>
      </c>
      <c r="E710" t="s">
        <v>31</v>
      </c>
      <c r="F710">
        <v>8</v>
      </c>
      <c r="G710">
        <v>9432</v>
      </c>
      <c r="H710">
        <v>1652.73</v>
      </c>
    </row>
    <row r="711" spans="1:8" x14ac:dyDescent="0.3">
      <c r="A711" s="1">
        <v>45900</v>
      </c>
      <c r="B711" t="s">
        <v>293</v>
      </c>
      <c r="C711" t="s">
        <v>16</v>
      </c>
      <c r="D711" t="s">
        <v>19</v>
      </c>
      <c r="E711" t="s">
        <v>20</v>
      </c>
      <c r="F711">
        <v>11</v>
      </c>
      <c r="G711">
        <v>7392</v>
      </c>
      <c r="H711">
        <v>1491.01</v>
      </c>
    </row>
    <row r="712" spans="1:8" x14ac:dyDescent="0.3">
      <c r="A712" s="1">
        <v>45995</v>
      </c>
      <c r="B712" t="s">
        <v>100</v>
      </c>
      <c r="C712" t="s">
        <v>16</v>
      </c>
      <c r="D712" t="s">
        <v>24</v>
      </c>
      <c r="E712" t="s">
        <v>11</v>
      </c>
      <c r="F712">
        <v>1</v>
      </c>
      <c r="G712">
        <v>1199</v>
      </c>
      <c r="H712">
        <v>168.31</v>
      </c>
    </row>
    <row r="713" spans="1:8" x14ac:dyDescent="0.3">
      <c r="A713" s="1">
        <v>45925</v>
      </c>
      <c r="B713" t="s">
        <v>217</v>
      </c>
      <c r="C713" t="s">
        <v>18</v>
      </c>
      <c r="D713" t="s">
        <v>40</v>
      </c>
      <c r="E713" t="s">
        <v>11</v>
      </c>
      <c r="F713">
        <v>12</v>
      </c>
      <c r="G713">
        <v>137796</v>
      </c>
      <c r="H713">
        <v>12096.05</v>
      </c>
    </row>
    <row r="714" spans="1:8" x14ac:dyDescent="0.3">
      <c r="A714" s="1">
        <v>45729</v>
      </c>
      <c r="B714" t="s">
        <v>307</v>
      </c>
      <c r="C714" t="s">
        <v>9</v>
      </c>
      <c r="D714" t="s">
        <v>56</v>
      </c>
      <c r="E714" t="s">
        <v>31</v>
      </c>
      <c r="F714">
        <v>12</v>
      </c>
      <c r="G714">
        <v>16056</v>
      </c>
      <c r="H714">
        <v>1576.43</v>
      </c>
    </row>
    <row r="715" spans="1:8" x14ac:dyDescent="0.3">
      <c r="A715" s="1">
        <v>45754</v>
      </c>
      <c r="B715" t="s">
        <v>302</v>
      </c>
      <c r="C715" t="s">
        <v>16</v>
      </c>
      <c r="D715" t="s">
        <v>10</v>
      </c>
      <c r="E715" t="s">
        <v>11</v>
      </c>
      <c r="F715">
        <v>7</v>
      </c>
      <c r="G715">
        <v>133448</v>
      </c>
      <c r="H715">
        <v>21044.46</v>
      </c>
    </row>
    <row r="716" spans="1:8" x14ac:dyDescent="0.3">
      <c r="A716" s="1">
        <v>45831</v>
      </c>
      <c r="B716" t="s">
        <v>267</v>
      </c>
      <c r="C716" t="s">
        <v>35</v>
      </c>
      <c r="D716" t="s">
        <v>10</v>
      </c>
      <c r="E716" t="s">
        <v>11</v>
      </c>
      <c r="F716">
        <v>7</v>
      </c>
      <c r="G716">
        <v>94661</v>
      </c>
      <c r="H716">
        <v>22484.5</v>
      </c>
    </row>
    <row r="717" spans="1:8" x14ac:dyDescent="0.3">
      <c r="A717" s="1">
        <v>45888</v>
      </c>
      <c r="B717" t="s">
        <v>157</v>
      </c>
      <c r="C717" t="s">
        <v>18</v>
      </c>
      <c r="D717" t="s">
        <v>43</v>
      </c>
      <c r="E717" t="s">
        <v>44</v>
      </c>
      <c r="F717">
        <v>11</v>
      </c>
      <c r="G717">
        <v>150205</v>
      </c>
      <c r="H717">
        <v>36432.58</v>
      </c>
    </row>
    <row r="718" spans="1:8" x14ac:dyDescent="0.3">
      <c r="A718" s="1">
        <v>45660</v>
      </c>
      <c r="B718" t="s">
        <v>129</v>
      </c>
      <c r="C718" t="s">
        <v>35</v>
      </c>
      <c r="D718" t="s">
        <v>62</v>
      </c>
      <c r="E718" t="s">
        <v>27</v>
      </c>
      <c r="F718">
        <v>12</v>
      </c>
      <c r="G718">
        <v>744</v>
      </c>
      <c r="H718">
        <v>129.49</v>
      </c>
    </row>
    <row r="719" spans="1:8" x14ac:dyDescent="0.3">
      <c r="A719" s="1">
        <v>45957</v>
      </c>
      <c r="B719" t="s">
        <v>206</v>
      </c>
      <c r="C719" t="s">
        <v>29</v>
      </c>
      <c r="D719" t="s">
        <v>43</v>
      </c>
      <c r="E719" t="s">
        <v>44</v>
      </c>
      <c r="F719">
        <v>9</v>
      </c>
      <c r="G719">
        <v>62127</v>
      </c>
      <c r="H719">
        <v>12276.86</v>
      </c>
    </row>
    <row r="720" spans="1:8" x14ac:dyDescent="0.3">
      <c r="A720" s="1">
        <v>45723</v>
      </c>
      <c r="B720" t="s">
        <v>235</v>
      </c>
      <c r="C720" t="s">
        <v>29</v>
      </c>
      <c r="D720" t="s">
        <v>10</v>
      </c>
      <c r="E720" t="s">
        <v>11</v>
      </c>
      <c r="F720">
        <v>7</v>
      </c>
      <c r="G720">
        <v>234815</v>
      </c>
      <c r="H720">
        <v>42758.13</v>
      </c>
    </row>
    <row r="721" spans="1:8" x14ac:dyDescent="0.3">
      <c r="A721" s="1">
        <v>45854</v>
      </c>
      <c r="B721" t="s">
        <v>82</v>
      </c>
      <c r="C721" t="s">
        <v>35</v>
      </c>
      <c r="D721" t="s">
        <v>47</v>
      </c>
      <c r="E721" t="s">
        <v>44</v>
      </c>
      <c r="F721">
        <v>10</v>
      </c>
      <c r="G721">
        <v>163460</v>
      </c>
      <c r="H721">
        <v>34261.82</v>
      </c>
    </row>
    <row r="722" spans="1:8" x14ac:dyDescent="0.3">
      <c r="A722" s="1">
        <v>45833</v>
      </c>
      <c r="B722" t="s">
        <v>308</v>
      </c>
      <c r="C722" t="s">
        <v>16</v>
      </c>
      <c r="D722" t="s">
        <v>22</v>
      </c>
      <c r="E722" t="s">
        <v>11</v>
      </c>
      <c r="F722">
        <v>8</v>
      </c>
      <c r="G722">
        <v>4584</v>
      </c>
      <c r="H722">
        <v>474.4</v>
      </c>
    </row>
    <row r="723" spans="1:8" x14ac:dyDescent="0.3">
      <c r="A723" s="1">
        <v>45920</v>
      </c>
      <c r="B723" t="s">
        <v>226</v>
      </c>
      <c r="C723" t="s">
        <v>9</v>
      </c>
      <c r="D723" t="s">
        <v>22</v>
      </c>
      <c r="E723" t="s">
        <v>11</v>
      </c>
      <c r="F723">
        <v>12</v>
      </c>
      <c r="G723">
        <v>17052</v>
      </c>
      <c r="H723">
        <v>3859.21</v>
      </c>
    </row>
    <row r="724" spans="1:8" x14ac:dyDescent="0.3">
      <c r="A724" s="1">
        <v>45769</v>
      </c>
      <c r="B724" t="s">
        <v>58</v>
      </c>
      <c r="C724" t="s">
        <v>35</v>
      </c>
      <c r="D724" t="s">
        <v>24</v>
      </c>
      <c r="E724" t="s">
        <v>11</v>
      </c>
      <c r="F724">
        <v>4</v>
      </c>
      <c r="G724">
        <v>7112</v>
      </c>
      <c r="H724">
        <v>1432.68</v>
      </c>
    </row>
    <row r="725" spans="1:8" x14ac:dyDescent="0.3">
      <c r="A725" s="1">
        <v>46002</v>
      </c>
      <c r="B725" t="s">
        <v>288</v>
      </c>
      <c r="C725" t="s">
        <v>16</v>
      </c>
      <c r="D725" t="s">
        <v>36</v>
      </c>
      <c r="E725" t="s">
        <v>11</v>
      </c>
      <c r="F725">
        <v>12</v>
      </c>
      <c r="G725">
        <v>27072</v>
      </c>
      <c r="H725">
        <v>4484.8</v>
      </c>
    </row>
    <row r="726" spans="1:8" x14ac:dyDescent="0.3">
      <c r="A726" s="1">
        <v>45717</v>
      </c>
      <c r="B726" t="s">
        <v>144</v>
      </c>
      <c r="C726" t="s">
        <v>18</v>
      </c>
      <c r="D726" t="s">
        <v>52</v>
      </c>
      <c r="E726" t="s">
        <v>31</v>
      </c>
      <c r="F726">
        <v>6</v>
      </c>
      <c r="G726">
        <v>34836</v>
      </c>
      <c r="H726">
        <v>5631.69</v>
      </c>
    </row>
    <row r="727" spans="1:8" x14ac:dyDescent="0.3">
      <c r="A727" s="1">
        <v>46021</v>
      </c>
      <c r="B727" t="s">
        <v>239</v>
      </c>
      <c r="C727" t="s">
        <v>35</v>
      </c>
      <c r="D727" t="s">
        <v>47</v>
      </c>
      <c r="E727" t="s">
        <v>44</v>
      </c>
      <c r="F727">
        <v>11</v>
      </c>
      <c r="G727">
        <v>189783</v>
      </c>
      <c r="H727">
        <v>44021.54</v>
      </c>
    </row>
    <row r="728" spans="1:8" x14ac:dyDescent="0.3">
      <c r="A728" s="1">
        <v>45874</v>
      </c>
      <c r="B728" t="s">
        <v>202</v>
      </c>
      <c r="C728" t="s">
        <v>18</v>
      </c>
      <c r="D728" t="s">
        <v>52</v>
      </c>
      <c r="E728" t="s">
        <v>31</v>
      </c>
      <c r="F728">
        <v>1</v>
      </c>
      <c r="G728">
        <v>5482</v>
      </c>
      <c r="H728">
        <v>537.78</v>
      </c>
    </row>
    <row r="729" spans="1:8" x14ac:dyDescent="0.3">
      <c r="A729" s="1">
        <v>45685</v>
      </c>
      <c r="B729" t="s">
        <v>123</v>
      </c>
      <c r="C729" t="s">
        <v>16</v>
      </c>
      <c r="D729" t="s">
        <v>13</v>
      </c>
      <c r="E729" t="s">
        <v>14</v>
      </c>
      <c r="F729">
        <v>1</v>
      </c>
      <c r="G729">
        <v>1518</v>
      </c>
      <c r="H729">
        <v>190.34</v>
      </c>
    </row>
    <row r="730" spans="1:8" x14ac:dyDescent="0.3">
      <c r="A730" s="1">
        <v>46007</v>
      </c>
      <c r="B730" t="s">
        <v>113</v>
      </c>
      <c r="C730" t="s">
        <v>16</v>
      </c>
      <c r="D730" t="s">
        <v>22</v>
      </c>
      <c r="E730" t="s">
        <v>11</v>
      </c>
      <c r="F730">
        <v>3</v>
      </c>
      <c r="G730">
        <v>1281</v>
      </c>
      <c r="H730">
        <v>252.87</v>
      </c>
    </row>
    <row r="731" spans="1:8" x14ac:dyDescent="0.3">
      <c r="A731" s="1">
        <v>45935</v>
      </c>
      <c r="B731" t="s">
        <v>193</v>
      </c>
      <c r="C731" t="s">
        <v>16</v>
      </c>
      <c r="D731" t="s">
        <v>54</v>
      </c>
      <c r="E731" t="s">
        <v>11</v>
      </c>
      <c r="F731">
        <v>6</v>
      </c>
      <c r="G731">
        <v>358980</v>
      </c>
      <c r="H731">
        <v>34972.410000000003</v>
      </c>
    </row>
    <row r="732" spans="1:8" x14ac:dyDescent="0.3">
      <c r="A732" s="1">
        <v>45772</v>
      </c>
      <c r="B732" t="s">
        <v>299</v>
      </c>
      <c r="C732" t="s">
        <v>16</v>
      </c>
      <c r="D732" t="s">
        <v>19</v>
      </c>
      <c r="E732" t="s">
        <v>20</v>
      </c>
      <c r="F732">
        <v>11</v>
      </c>
      <c r="G732">
        <v>9614</v>
      </c>
      <c r="H732">
        <v>1404.71</v>
      </c>
    </row>
    <row r="733" spans="1:8" x14ac:dyDescent="0.3">
      <c r="A733" s="1">
        <v>46014</v>
      </c>
      <c r="B733" t="s">
        <v>124</v>
      </c>
      <c r="C733" t="s">
        <v>29</v>
      </c>
      <c r="D733" t="s">
        <v>22</v>
      </c>
      <c r="E733" t="s">
        <v>11</v>
      </c>
      <c r="F733">
        <v>12</v>
      </c>
      <c r="G733">
        <v>19920</v>
      </c>
      <c r="H733">
        <v>1752.69</v>
      </c>
    </row>
    <row r="734" spans="1:8" x14ac:dyDescent="0.3">
      <c r="A734" s="1">
        <v>45871</v>
      </c>
      <c r="B734" t="s">
        <v>178</v>
      </c>
      <c r="C734" t="s">
        <v>16</v>
      </c>
      <c r="D734" t="s">
        <v>52</v>
      </c>
      <c r="E734" t="s">
        <v>31</v>
      </c>
      <c r="F734">
        <v>11</v>
      </c>
      <c r="G734">
        <v>41371</v>
      </c>
      <c r="H734">
        <v>10102.450000000001</v>
      </c>
    </row>
    <row r="735" spans="1:8" x14ac:dyDescent="0.3">
      <c r="A735" s="1">
        <v>45786</v>
      </c>
      <c r="B735" t="s">
        <v>169</v>
      </c>
      <c r="C735" t="s">
        <v>29</v>
      </c>
      <c r="D735" t="s">
        <v>24</v>
      </c>
      <c r="E735" t="s">
        <v>11</v>
      </c>
      <c r="F735">
        <v>10</v>
      </c>
      <c r="G735">
        <v>22790</v>
      </c>
      <c r="H735">
        <v>4848.74</v>
      </c>
    </row>
    <row r="736" spans="1:8" x14ac:dyDescent="0.3">
      <c r="A736" s="1">
        <v>45773</v>
      </c>
      <c r="B736" t="s">
        <v>37</v>
      </c>
      <c r="C736" t="s">
        <v>9</v>
      </c>
      <c r="D736" t="s">
        <v>30</v>
      </c>
      <c r="E736" t="s">
        <v>31</v>
      </c>
      <c r="F736">
        <v>11</v>
      </c>
      <c r="G736">
        <v>29766</v>
      </c>
      <c r="H736">
        <v>6202.29</v>
      </c>
    </row>
    <row r="737" spans="1:8" x14ac:dyDescent="0.3">
      <c r="A737" s="1">
        <v>45966</v>
      </c>
      <c r="B737" t="s">
        <v>306</v>
      </c>
      <c r="C737" t="s">
        <v>29</v>
      </c>
      <c r="D737" t="s">
        <v>24</v>
      </c>
      <c r="E737" t="s">
        <v>11</v>
      </c>
      <c r="F737">
        <v>12</v>
      </c>
      <c r="G737">
        <v>29688</v>
      </c>
      <c r="H737">
        <v>3351.62</v>
      </c>
    </row>
    <row r="738" spans="1:8" x14ac:dyDescent="0.3">
      <c r="A738" s="1">
        <v>46007</v>
      </c>
      <c r="B738" t="s">
        <v>95</v>
      </c>
      <c r="C738" t="s">
        <v>18</v>
      </c>
      <c r="D738" t="s">
        <v>10</v>
      </c>
      <c r="E738" t="s">
        <v>11</v>
      </c>
      <c r="F738">
        <v>3</v>
      </c>
      <c r="G738">
        <v>53082</v>
      </c>
      <c r="H738">
        <v>10879.87</v>
      </c>
    </row>
    <row r="739" spans="1:8" x14ac:dyDescent="0.3">
      <c r="A739" s="1">
        <v>45678</v>
      </c>
      <c r="B739" t="s">
        <v>101</v>
      </c>
      <c r="C739" t="s">
        <v>9</v>
      </c>
      <c r="D739" t="s">
        <v>47</v>
      </c>
      <c r="E739" t="s">
        <v>44</v>
      </c>
      <c r="F739">
        <v>5</v>
      </c>
      <c r="G739">
        <v>70595</v>
      </c>
      <c r="H739">
        <v>8818.7800000000007</v>
      </c>
    </row>
    <row r="740" spans="1:8" x14ac:dyDescent="0.3">
      <c r="A740" s="1">
        <v>45788</v>
      </c>
      <c r="B740" t="s">
        <v>106</v>
      </c>
      <c r="C740" t="s">
        <v>18</v>
      </c>
      <c r="D740" t="s">
        <v>54</v>
      </c>
      <c r="E740" t="s">
        <v>11</v>
      </c>
      <c r="F740">
        <v>6</v>
      </c>
      <c r="G740">
        <v>361680</v>
      </c>
      <c r="H740">
        <v>72570.070000000007</v>
      </c>
    </row>
    <row r="741" spans="1:8" x14ac:dyDescent="0.3">
      <c r="A741" s="1">
        <v>45736</v>
      </c>
      <c r="B741" t="s">
        <v>166</v>
      </c>
      <c r="C741" t="s">
        <v>35</v>
      </c>
      <c r="D741" t="s">
        <v>30</v>
      </c>
      <c r="E741" t="s">
        <v>31</v>
      </c>
      <c r="F741">
        <v>6</v>
      </c>
      <c r="G741">
        <v>8448</v>
      </c>
      <c r="H741">
        <v>1786.94</v>
      </c>
    </row>
    <row r="742" spans="1:8" x14ac:dyDescent="0.3">
      <c r="A742" s="1">
        <v>45996</v>
      </c>
      <c r="B742" t="s">
        <v>292</v>
      </c>
      <c r="C742" t="s">
        <v>35</v>
      </c>
      <c r="D742" t="s">
        <v>22</v>
      </c>
      <c r="E742" t="s">
        <v>11</v>
      </c>
      <c r="F742">
        <v>8</v>
      </c>
      <c r="G742">
        <v>11776</v>
      </c>
      <c r="H742">
        <v>2043.46</v>
      </c>
    </row>
    <row r="743" spans="1:8" x14ac:dyDescent="0.3">
      <c r="A743" s="1">
        <v>46020</v>
      </c>
      <c r="B743" t="s">
        <v>99</v>
      </c>
      <c r="C743" t="s">
        <v>29</v>
      </c>
      <c r="D743" t="s">
        <v>40</v>
      </c>
      <c r="E743" t="s">
        <v>11</v>
      </c>
      <c r="F743">
        <v>9</v>
      </c>
      <c r="G743">
        <v>136863</v>
      </c>
      <c r="H743">
        <v>33215</v>
      </c>
    </row>
    <row r="744" spans="1:8" x14ac:dyDescent="0.3">
      <c r="A744" s="1">
        <v>45916</v>
      </c>
      <c r="B744" t="s">
        <v>309</v>
      </c>
      <c r="C744" t="s">
        <v>18</v>
      </c>
      <c r="D744" t="s">
        <v>36</v>
      </c>
      <c r="E744" t="s">
        <v>11</v>
      </c>
      <c r="F744">
        <v>7</v>
      </c>
      <c r="G744">
        <v>28728</v>
      </c>
      <c r="H744">
        <v>2747.28</v>
      </c>
    </row>
    <row r="745" spans="1:8" x14ac:dyDescent="0.3">
      <c r="A745" s="1">
        <v>45767</v>
      </c>
      <c r="B745" t="s">
        <v>243</v>
      </c>
      <c r="C745" t="s">
        <v>35</v>
      </c>
      <c r="D745" t="s">
        <v>13</v>
      </c>
      <c r="E745" t="s">
        <v>14</v>
      </c>
      <c r="F745">
        <v>6</v>
      </c>
      <c r="G745">
        <v>12336</v>
      </c>
      <c r="H745">
        <v>1743.52</v>
      </c>
    </row>
    <row r="746" spans="1:8" x14ac:dyDescent="0.3">
      <c r="A746" s="1">
        <v>45974</v>
      </c>
      <c r="B746" t="s">
        <v>65</v>
      </c>
      <c r="C746" t="s">
        <v>35</v>
      </c>
      <c r="D746" t="s">
        <v>62</v>
      </c>
      <c r="E746" t="s">
        <v>27</v>
      </c>
      <c r="F746">
        <v>8</v>
      </c>
      <c r="G746">
        <v>1544</v>
      </c>
      <c r="H746">
        <v>339.72</v>
      </c>
    </row>
    <row r="747" spans="1:8" x14ac:dyDescent="0.3">
      <c r="A747" s="1">
        <v>46000</v>
      </c>
      <c r="B747" t="s">
        <v>28</v>
      </c>
      <c r="C747" t="s">
        <v>35</v>
      </c>
      <c r="D747" t="s">
        <v>40</v>
      </c>
      <c r="E747" t="s">
        <v>11</v>
      </c>
      <c r="F747">
        <v>8</v>
      </c>
      <c r="G747">
        <v>127000</v>
      </c>
      <c r="H747">
        <v>29688.080000000002</v>
      </c>
    </row>
    <row r="748" spans="1:8" x14ac:dyDescent="0.3">
      <c r="A748" s="1">
        <v>45976</v>
      </c>
      <c r="B748" t="s">
        <v>222</v>
      </c>
      <c r="C748" t="s">
        <v>9</v>
      </c>
      <c r="D748" t="s">
        <v>24</v>
      </c>
      <c r="E748" t="s">
        <v>11</v>
      </c>
      <c r="F748">
        <v>1</v>
      </c>
      <c r="G748">
        <v>1897</v>
      </c>
      <c r="H748">
        <v>437.38</v>
      </c>
    </row>
    <row r="749" spans="1:8" x14ac:dyDescent="0.3">
      <c r="A749" s="1">
        <v>45716</v>
      </c>
      <c r="B749" t="s">
        <v>168</v>
      </c>
      <c r="C749" t="s">
        <v>9</v>
      </c>
      <c r="D749" t="s">
        <v>47</v>
      </c>
      <c r="E749" t="s">
        <v>44</v>
      </c>
      <c r="F749">
        <v>5</v>
      </c>
      <c r="G749">
        <v>69255</v>
      </c>
      <c r="H749">
        <v>14064.02</v>
      </c>
    </row>
    <row r="750" spans="1:8" x14ac:dyDescent="0.3">
      <c r="A750" s="1">
        <v>45922</v>
      </c>
      <c r="B750" t="s">
        <v>103</v>
      </c>
      <c r="C750" t="s">
        <v>16</v>
      </c>
      <c r="D750" t="s">
        <v>56</v>
      </c>
      <c r="E750" t="s">
        <v>31</v>
      </c>
      <c r="F750">
        <v>6</v>
      </c>
      <c r="G750">
        <v>9318</v>
      </c>
      <c r="H750">
        <v>2017.15</v>
      </c>
    </row>
    <row r="751" spans="1:8" x14ac:dyDescent="0.3">
      <c r="A751" s="1">
        <v>45680</v>
      </c>
      <c r="B751" t="s">
        <v>59</v>
      </c>
      <c r="C751" t="s">
        <v>18</v>
      </c>
      <c r="D751" t="s">
        <v>22</v>
      </c>
      <c r="E751" t="s">
        <v>11</v>
      </c>
      <c r="F751">
        <v>11</v>
      </c>
      <c r="G751">
        <v>7634</v>
      </c>
      <c r="H751">
        <v>1026.42</v>
      </c>
    </row>
    <row r="752" spans="1:8" x14ac:dyDescent="0.3">
      <c r="A752" s="1">
        <v>45743</v>
      </c>
      <c r="B752" t="s">
        <v>291</v>
      </c>
      <c r="C752" t="s">
        <v>35</v>
      </c>
      <c r="D752" t="s">
        <v>52</v>
      </c>
      <c r="E752" t="s">
        <v>31</v>
      </c>
      <c r="F752">
        <v>9</v>
      </c>
      <c r="G752">
        <v>50112</v>
      </c>
      <c r="H752">
        <v>4071.41</v>
      </c>
    </row>
    <row r="753" spans="1:8" x14ac:dyDescent="0.3">
      <c r="A753" s="1">
        <v>46001</v>
      </c>
      <c r="B753" t="s">
        <v>84</v>
      </c>
      <c r="C753" t="s">
        <v>18</v>
      </c>
      <c r="D753" t="s">
        <v>13</v>
      </c>
      <c r="E753" t="s">
        <v>14</v>
      </c>
      <c r="F753">
        <v>4</v>
      </c>
      <c r="G753">
        <v>9748</v>
      </c>
      <c r="H753">
        <v>2164.67</v>
      </c>
    </row>
    <row r="754" spans="1:8" x14ac:dyDescent="0.3">
      <c r="A754" s="1">
        <v>46017</v>
      </c>
      <c r="B754" t="s">
        <v>218</v>
      </c>
      <c r="C754" t="s">
        <v>16</v>
      </c>
      <c r="D754" t="s">
        <v>30</v>
      </c>
      <c r="E754" t="s">
        <v>31</v>
      </c>
      <c r="F754">
        <v>12</v>
      </c>
      <c r="G754">
        <v>35784</v>
      </c>
      <c r="H754">
        <v>6795.93</v>
      </c>
    </row>
    <row r="755" spans="1:8" x14ac:dyDescent="0.3">
      <c r="A755" s="1">
        <v>46009</v>
      </c>
      <c r="B755" t="s">
        <v>310</v>
      </c>
      <c r="C755" t="s">
        <v>29</v>
      </c>
      <c r="D755" t="s">
        <v>36</v>
      </c>
      <c r="E755" t="s">
        <v>11</v>
      </c>
      <c r="F755">
        <v>1</v>
      </c>
      <c r="G755">
        <v>4561</v>
      </c>
      <c r="H755">
        <v>920.72</v>
      </c>
    </row>
    <row r="756" spans="1:8" x14ac:dyDescent="0.3">
      <c r="A756" s="1">
        <v>45695</v>
      </c>
      <c r="B756" t="s">
        <v>289</v>
      </c>
      <c r="C756" t="s">
        <v>16</v>
      </c>
      <c r="D756" t="s">
        <v>54</v>
      </c>
      <c r="E756" t="s">
        <v>11</v>
      </c>
      <c r="F756">
        <v>3</v>
      </c>
      <c r="G756">
        <v>159762</v>
      </c>
      <c r="H756">
        <v>27938.27</v>
      </c>
    </row>
    <row r="757" spans="1:8" x14ac:dyDescent="0.3">
      <c r="A757" s="1">
        <v>45774</v>
      </c>
      <c r="B757" t="s">
        <v>124</v>
      </c>
      <c r="C757" t="s">
        <v>35</v>
      </c>
      <c r="D757" t="s">
        <v>30</v>
      </c>
      <c r="E757" t="s">
        <v>31</v>
      </c>
      <c r="F757">
        <v>5</v>
      </c>
      <c r="G757">
        <v>14345</v>
      </c>
      <c r="H757">
        <v>2093.88</v>
      </c>
    </row>
    <row r="758" spans="1:8" x14ac:dyDescent="0.3">
      <c r="A758" s="1">
        <v>45819</v>
      </c>
      <c r="B758" t="s">
        <v>301</v>
      </c>
      <c r="C758" t="s">
        <v>29</v>
      </c>
      <c r="D758" t="s">
        <v>54</v>
      </c>
      <c r="E758" t="s">
        <v>11</v>
      </c>
      <c r="F758">
        <v>7</v>
      </c>
      <c r="G758">
        <v>342132</v>
      </c>
      <c r="H758">
        <v>58477.83</v>
      </c>
    </row>
    <row r="759" spans="1:8" x14ac:dyDescent="0.3">
      <c r="A759" s="1">
        <v>45957</v>
      </c>
      <c r="B759" t="s">
        <v>99</v>
      </c>
      <c r="C759" t="s">
        <v>29</v>
      </c>
      <c r="D759" t="s">
        <v>54</v>
      </c>
      <c r="E759" t="s">
        <v>11</v>
      </c>
      <c r="F759">
        <v>12</v>
      </c>
      <c r="G759">
        <v>568536</v>
      </c>
      <c r="H759">
        <v>80055</v>
      </c>
    </row>
    <row r="760" spans="1:8" x14ac:dyDescent="0.3">
      <c r="A760" s="1">
        <v>45806</v>
      </c>
      <c r="B760" t="s">
        <v>171</v>
      </c>
      <c r="C760" t="s">
        <v>16</v>
      </c>
      <c r="D760" t="s">
        <v>52</v>
      </c>
      <c r="E760" t="s">
        <v>31</v>
      </c>
      <c r="F760">
        <v>11</v>
      </c>
      <c r="G760">
        <v>40348</v>
      </c>
      <c r="H760">
        <v>7388.37</v>
      </c>
    </row>
    <row r="761" spans="1:8" x14ac:dyDescent="0.3">
      <c r="A761" s="1">
        <v>45882</v>
      </c>
      <c r="B761" t="s">
        <v>53</v>
      </c>
      <c r="C761" t="s">
        <v>35</v>
      </c>
      <c r="D761" t="s">
        <v>47</v>
      </c>
      <c r="E761" t="s">
        <v>44</v>
      </c>
      <c r="F761">
        <v>7</v>
      </c>
      <c r="G761">
        <v>110775</v>
      </c>
      <c r="H761">
        <v>9442.3799999999992</v>
      </c>
    </row>
    <row r="762" spans="1:8" x14ac:dyDescent="0.3">
      <c r="A762" s="1">
        <v>45770</v>
      </c>
      <c r="B762" t="s">
        <v>239</v>
      </c>
      <c r="C762" t="s">
        <v>29</v>
      </c>
      <c r="D762" t="s">
        <v>36</v>
      </c>
      <c r="E762" t="s">
        <v>11</v>
      </c>
      <c r="F762">
        <v>12</v>
      </c>
      <c r="G762">
        <v>48036</v>
      </c>
      <c r="H762">
        <v>10349.4</v>
      </c>
    </row>
    <row r="763" spans="1:8" x14ac:dyDescent="0.3">
      <c r="A763" s="1">
        <v>45982</v>
      </c>
      <c r="B763" t="s">
        <v>15</v>
      </c>
      <c r="C763" t="s">
        <v>16</v>
      </c>
      <c r="D763" t="s">
        <v>36</v>
      </c>
      <c r="E763" t="s">
        <v>11</v>
      </c>
      <c r="F763">
        <v>5</v>
      </c>
      <c r="G763">
        <v>19280</v>
      </c>
      <c r="H763">
        <v>4680.3500000000004</v>
      </c>
    </row>
    <row r="764" spans="1:8" x14ac:dyDescent="0.3">
      <c r="A764" s="1">
        <v>45942</v>
      </c>
      <c r="B764" t="s">
        <v>61</v>
      </c>
      <c r="C764" t="s">
        <v>16</v>
      </c>
      <c r="D764" t="s">
        <v>36</v>
      </c>
      <c r="E764" t="s">
        <v>11</v>
      </c>
      <c r="F764">
        <v>2</v>
      </c>
      <c r="G764">
        <v>2284</v>
      </c>
      <c r="H764">
        <v>184.67</v>
      </c>
    </row>
    <row r="765" spans="1:8" x14ac:dyDescent="0.3">
      <c r="A765" s="1">
        <v>45933</v>
      </c>
      <c r="B765" t="s">
        <v>121</v>
      </c>
      <c r="C765" t="s">
        <v>35</v>
      </c>
      <c r="D765" t="s">
        <v>62</v>
      </c>
      <c r="E765" t="s">
        <v>27</v>
      </c>
      <c r="F765">
        <v>2</v>
      </c>
      <c r="G765">
        <v>256</v>
      </c>
      <c r="H765">
        <v>29.62</v>
      </c>
    </row>
    <row r="766" spans="1:8" x14ac:dyDescent="0.3">
      <c r="A766" s="1">
        <v>45869</v>
      </c>
      <c r="B766" t="s">
        <v>295</v>
      </c>
      <c r="C766" t="s">
        <v>16</v>
      </c>
      <c r="D766" t="s">
        <v>30</v>
      </c>
      <c r="E766" t="s">
        <v>31</v>
      </c>
      <c r="F766">
        <v>11</v>
      </c>
      <c r="G766">
        <v>36289</v>
      </c>
      <c r="H766">
        <v>3781.94</v>
      </c>
    </row>
    <row r="767" spans="1:8" x14ac:dyDescent="0.3">
      <c r="A767" s="1">
        <v>45973</v>
      </c>
      <c r="B767" t="s">
        <v>289</v>
      </c>
      <c r="C767" t="s">
        <v>16</v>
      </c>
      <c r="D767" t="s">
        <v>56</v>
      </c>
      <c r="E767" t="s">
        <v>31</v>
      </c>
      <c r="F767">
        <v>5</v>
      </c>
      <c r="G767">
        <v>4485</v>
      </c>
      <c r="H767">
        <v>446.19</v>
      </c>
    </row>
    <row r="768" spans="1:8" x14ac:dyDescent="0.3">
      <c r="A768" s="1">
        <v>45685</v>
      </c>
      <c r="B768" t="s">
        <v>130</v>
      </c>
      <c r="C768" t="s">
        <v>16</v>
      </c>
      <c r="D768" t="s">
        <v>56</v>
      </c>
      <c r="E768" t="s">
        <v>31</v>
      </c>
      <c r="F768">
        <v>9</v>
      </c>
      <c r="G768">
        <v>12996</v>
      </c>
      <c r="H768">
        <v>2463.9699999999998</v>
      </c>
    </row>
    <row r="769" spans="1:8" x14ac:dyDescent="0.3">
      <c r="A769" s="1">
        <v>46001</v>
      </c>
      <c r="B769" t="s">
        <v>208</v>
      </c>
      <c r="C769" t="s">
        <v>18</v>
      </c>
      <c r="D769" t="s">
        <v>10</v>
      </c>
      <c r="E769" t="s">
        <v>11</v>
      </c>
      <c r="F769">
        <v>5</v>
      </c>
      <c r="G769">
        <v>76085</v>
      </c>
      <c r="H769">
        <v>8640.2900000000009</v>
      </c>
    </row>
    <row r="770" spans="1:8" x14ac:dyDescent="0.3">
      <c r="A770" s="1">
        <v>45827</v>
      </c>
      <c r="B770" t="s">
        <v>301</v>
      </c>
      <c r="C770" t="s">
        <v>9</v>
      </c>
      <c r="D770" t="s">
        <v>40</v>
      </c>
      <c r="E770" t="s">
        <v>11</v>
      </c>
      <c r="F770">
        <v>3</v>
      </c>
      <c r="G770">
        <v>47055</v>
      </c>
      <c r="H770">
        <v>4564.7</v>
      </c>
    </row>
    <row r="771" spans="1:8" x14ac:dyDescent="0.3">
      <c r="A771" s="1">
        <v>45757</v>
      </c>
      <c r="B771" t="s">
        <v>147</v>
      </c>
      <c r="C771" t="s">
        <v>18</v>
      </c>
      <c r="D771" t="s">
        <v>40</v>
      </c>
      <c r="E771" t="s">
        <v>11</v>
      </c>
      <c r="F771">
        <v>8</v>
      </c>
      <c r="G771">
        <v>182128</v>
      </c>
      <c r="H771">
        <v>24736.41</v>
      </c>
    </row>
    <row r="772" spans="1:8" x14ac:dyDescent="0.3">
      <c r="A772" s="1">
        <v>45957</v>
      </c>
      <c r="B772" t="s">
        <v>51</v>
      </c>
      <c r="C772" t="s">
        <v>16</v>
      </c>
      <c r="D772" t="s">
        <v>36</v>
      </c>
      <c r="E772" t="s">
        <v>11</v>
      </c>
      <c r="F772">
        <v>10</v>
      </c>
      <c r="G772">
        <v>37850</v>
      </c>
      <c r="H772">
        <v>8225.14</v>
      </c>
    </row>
    <row r="773" spans="1:8" x14ac:dyDescent="0.3">
      <c r="A773" s="1">
        <v>45660</v>
      </c>
      <c r="B773" t="s">
        <v>120</v>
      </c>
      <c r="C773" t="s">
        <v>9</v>
      </c>
      <c r="D773" t="s">
        <v>40</v>
      </c>
      <c r="E773" t="s">
        <v>11</v>
      </c>
      <c r="F773">
        <v>4</v>
      </c>
      <c r="G773">
        <v>61032</v>
      </c>
      <c r="H773">
        <v>12271.94</v>
      </c>
    </row>
    <row r="774" spans="1:8" x14ac:dyDescent="0.3">
      <c r="A774" s="1">
        <v>45842</v>
      </c>
      <c r="B774" t="s">
        <v>103</v>
      </c>
      <c r="C774" t="s">
        <v>29</v>
      </c>
      <c r="D774" t="s">
        <v>36</v>
      </c>
      <c r="E774" t="s">
        <v>11</v>
      </c>
      <c r="F774">
        <v>11</v>
      </c>
      <c r="G774">
        <v>38676</v>
      </c>
      <c r="H774">
        <v>8866.11</v>
      </c>
    </row>
    <row r="775" spans="1:8" x14ac:dyDescent="0.3">
      <c r="A775" s="1">
        <v>45841</v>
      </c>
      <c r="B775" t="s">
        <v>104</v>
      </c>
      <c r="C775" t="s">
        <v>18</v>
      </c>
      <c r="D775" t="s">
        <v>52</v>
      </c>
      <c r="E775" t="s">
        <v>31</v>
      </c>
      <c r="F775">
        <v>5</v>
      </c>
      <c r="G775">
        <v>25945</v>
      </c>
      <c r="H775">
        <v>4508.83</v>
      </c>
    </row>
    <row r="776" spans="1:8" x14ac:dyDescent="0.3">
      <c r="A776" s="1">
        <v>45968</v>
      </c>
      <c r="B776" t="s">
        <v>138</v>
      </c>
      <c r="C776" t="s">
        <v>18</v>
      </c>
      <c r="D776" t="s">
        <v>10</v>
      </c>
      <c r="E776" t="s">
        <v>11</v>
      </c>
      <c r="F776">
        <v>5</v>
      </c>
      <c r="G776">
        <v>82935</v>
      </c>
      <c r="H776">
        <v>19201.150000000001</v>
      </c>
    </row>
    <row r="777" spans="1:8" x14ac:dyDescent="0.3">
      <c r="A777" s="1">
        <v>45978</v>
      </c>
      <c r="B777" t="s">
        <v>128</v>
      </c>
      <c r="C777" t="s">
        <v>18</v>
      </c>
      <c r="D777" t="s">
        <v>10</v>
      </c>
      <c r="E777" t="s">
        <v>11</v>
      </c>
      <c r="F777">
        <v>12</v>
      </c>
      <c r="G777">
        <v>173640</v>
      </c>
      <c r="H777">
        <v>40225.07</v>
      </c>
    </row>
    <row r="778" spans="1:8" x14ac:dyDescent="0.3">
      <c r="A778" s="1">
        <v>45673</v>
      </c>
      <c r="B778" t="s">
        <v>180</v>
      </c>
      <c r="C778" t="s">
        <v>35</v>
      </c>
      <c r="D778" t="s">
        <v>56</v>
      </c>
      <c r="E778" t="s">
        <v>31</v>
      </c>
      <c r="F778">
        <v>10</v>
      </c>
      <c r="G778">
        <v>16850</v>
      </c>
      <c r="H778">
        <v>2508.5100000000002</v>
      </c>
    </row>
    <row r="779" spans="1:8" x14ac:dyDescent="0.3">
      <c r="A779" s="1">
        <v>45676</v>
      </c>
      <c r="B779" t="s">
        <v>153</v>
      </c>
      <c r="C779" t="s">
        <v>16</v>
      </c>
      <c r="D779" t="s">
        <v>62</v>
      </c>
      <c r="E779" t="s">
        <v>27</v>
      </c>
      <c r="F779">
        <v>5</v>
      </c>
      <c r="G779">
        <v>945</v>
      </c>
      <c r="H779">
        <v>219.22</v>
      </c>
    </row>
    <row r="780" spans="1:8" x14ac:dyDescent="0.3">
      <c r="A780" s="1">
        <v>45992</v>
      </c>
      <c r="B780" t="s">
        <v>254</v>
      </c>
      <c r="C780" t="s">
        <v>29</v>
      </c>
      <c r="D780" t="s">
        <v>52</v>
      </c>
      <c r="E780" t="s">
        <v>31</v>
      </c>
      <c r="F780">
        <v>3</v>
      </c>
      <c r="G780">
        <v>12588</v>
      </c>
      <c r="H780">
        <v>1846.97</v>
      </c>
    </row>
    <row r="781" spans="1:8" x14ac:dyDescent="0.3">
      <c r="A781" s="1">
        <v>45806</v>
      </c>
      <c r="B781" t="s">
        <v>131</v>
      </c>
      <c r="C781" t="s">
        <v>29</v>
      </c>
      <c r="D781" t="s">
        <v>36</v>
      </c>
      <c r="E781" t="s">
        <v>11</v>
      </c>
      <c r="F781">
        <v>8</v>
      </c>
      <c r="G781">
        <v>39240</v>
      </c>
      <c r="H781">
        <v>6544.06</v>
      </c>
    </row>
    <row r="782" spans="1:8" x14ac:dyDescent="0.3">
      <c r="A782" s="1">
        <v>45915</v>
      </c>
      <c r="B782" t="s">
        <v>234</v>
      </c>
      <c r="C782" t="s">
        <v>29</v>
      </c>
      <c r="D782" t="s">
        <v>54</v>
      </c>
      <c r="E782" t="s">
        <v>11</v>
      </c>
      <c r="F782">
        <v>11</v>
      </c>
      <c r="G782">
        <v>581097</v>
      </c>
      <c r="H782">
        <v>130256.91</v>
      </c>
    </row>
    <row r="783" spans="1:8" x14ac:dyDescent="0.3">
      <c r="A783" s="1">
        <v>45742</v>
      </c>
      <c r="B783" t="s">
        <v>101</v>
      </c>
      <c r="C783" t="s">
        <v>16</v>
      </c>
      <c r="D783" t="s">
        <v>52</v>
      </c>
      <c r="E783" t="s">
        <v>31</v>
      </c>
      <c r="F783">
        <v>9</v>
      </c>
      <c r="G783">
        <v>21141</v>
      </c>
      <c r="H783">
        <v>3294.98</v>
      </c>
    </row>
    <row r="784" spans="1:8" x14ac:dyDescent="0.3">
      <c r="A784" s="1">
        <v>45947</v>
      </c>
      <c r="B784" t="s">
        <v>311</v>
      </c>
      <c r="C784" t="s">
        <v>9</v>
      </c>
      <c r="D784" t="s">
        <v>13</v>
      </c>
      <c r="E784" t="s">
        <v>14</v>
      </c>
      <c r="F784">
        <v>3</v>
      </c>
      <c r="G784">
        <v>8040</v>
      </c>
      <c r="H784">
        <v>1926.86</v>
      </c>
    </row>
    <row r="785" spans="1:8" x14ac:dyDescent="0.3">
      <c r="A785" s="1">
        <v>45907</v>
      </c>
      <c r="B785" t="s">
        <v>205</v>
      </c>
      <c r="C785" t="s">
        <v>18</v>
      </c>
      <c r="D785" t="s">
        <v>24</v>
      </c>
      <c r="E785" t="s">
        <v>11</v>
      </c>
      <c r="F785">
        <v>2</v>
      </c>
      <c r="G785">
        <v>2082</v>
      </c>
      <c r="H785">
        <v>297.32</v>
      </c>
    </row>
    <row r="786" spans="1:8" x14ac:dyDescent="0.3">
      <c r="A786" s="1">
        <v>45763</v>
      </c>
      <c r="B786" t="s">
        <v>150</v>
      </c>
      <c r="C786" t="s">
        <v>16</v>
      </c>
      <c r="D786" t="s">
        <v>62</v>
      </c>
      <c r="E786" t="s">
        <v>27</v>
      </c>
      <c r="F786">
        <v>6</v>
      </c>
      <c r="G786">
        <v>894</v>
      </c>
      <c r="H786">
        <v>142.9</v>
      </c>
    </row>
    <row r="787" spans="1:8" x14ac:dyDescent="0.3">
      <c r="A787" s="1">
        <v>45681</v>
      </c>
      <c r="B787" t="s">
        <v>128</v>
      </c>
      <c r="C787" t="s">
        <v>18</v>
      </c>
      <c r="D787" t="s">
        <v>54</v>
      </c>
      <c r="E787" t="s">
        <v>11</v>
      </c>
      <c r="F787">
        <v>11</v>
      </c>
      <c r="G787">
        <v>611809</v>
      </c>
      <c r="H787">
        <v>59680.9</v>
      </c>
    </row>
    <row r="788" spans="1:8" x14ac:dyDescent="0.3">
      <c r="A788" s="1">
        <v>45798</v>
      </c>
      <c r="B788" t="s">
        <v>167</v>
      </c>
      <c r="C788" t="s">
        <v>16</v>
      </c>
      <c r="D788" t="s">
        <v>56</v>
      </c>
      <c r="E788" t="s">
        <v>31</v>
      </c>
      <c r="F788">
        <v>12</v>
      </c>
      <c r="G788">
        <v>12468</v>
      </c>
      <c r="H788">
        <v>2223.88</v>
      </c>
    </row>
    <row r="789" spans="1:8" x14ac:dyDescent="0.3">
      <c r="A789" s="1">
        <v>45850</v>
      </c>
      <c r="B789" t="s">
        <v>127</v>
      </c>
      <c r="C789" t="s">
        <v>18</v>
      </c>
      <c r="D789" t="s">
        <v>13</v>
      </c>
      <c r="E789" t="s">
        <v>14</v>
      </c>
      <c r="F789">
        <v>7</v>
      </c>
      <c r="G789">
        <v>15372</v>
      </c>
      <c r="H789">
        <v>2765.51</v>
      </c>
    </row>
    <row r="790" spans="1:8" x14ac:dyDescent="0.3">
      <c r="A790" s="1">
        <v>45786</v>
      </c>
      <c r="B790" t="s">
        <v>298</v>
      </c>
      <c r="C790" t="s">
        <v>16</v>
      </c>
      <c r="D790" t="s">
        <v>47</v>
      </c>
      <c r="E790" t="s">
        <v>44</v>
      </c>
      <c r="F790">
        <v>4</v>
      </c>
      <c r="G790">
        <v>53840</v>
      </c>
      <c r="H790">
        <v>8021.79</v>
      </c>
    </row>
    <row r="791" spans="1:8" x14ac:dyDescent="0.3">
      <c r="A791" s="1">
        <v>45904</v>
      </c>
      <c r="B791" t="s">
        <v>157</v>
      </c>
      <c r="C791" t="s">
        <v>9</v>
      </c>
      <c r="D791" t="s">
        <v>30</v>
      </c>
      <c r="E791" t="s">
        <v>31</v>
      </c>
      <c r="F791">
        <v>10</v>
      </c>
      <c r="G791">
        <v>12270</v>
      </c>
      <c r="H791">
        <v>2028.38</v>
      </c>
    </row>
    <row r="792" spans="1:8" x14ac:dyDescent="0.3">
      <c r="A792" s="1">
        <v>45742</v>
      </c>
      <c r="B792" t="s">
        <v>245</v>
      </c>
      <c r="C792" t="s">
        <v>29</v>
      </c>
      <c r="D792" t="s">
        <v>24</v>
      </c>
      <c r="E792" t="s">
        <v>11</v>
      </c>
      <c r="F792">
        <v>2</v>
      </c>
      <c r="G792">
        <v>3106</v>
      </c>
      <c r="H792">
        <v>588.25</v>
      </c>
    </row>
    <row r="793" spans="1:8" x14ac:dyDescent="0.3">
      <c r="A793" s="1">
        <v>45753</v>
      </c>
      <c r="B793" t="s">
        <v>94</v>
      </c>
      <c r="C793" t="s">
        <v>18</v>
      </c>
      <c r="D793" t="s">
        <v>36</v>
      </c>
      <c r="E793" t="s">
        <v>11</v>
      </c>
      <c r="F793">
        <v>6</v>
      </c>
      <c r="G793">
        <v>10614</v>
      </c>
      <c r="H793">
        <v>2042.01</v>
      </c>
    </row>
    <row r="794" spans="1:8" x14ac:dyDescent="0.3">
      <c r="A794" s="1">
        <v>45827</v>
      </c>
      <c r="B794" t="s">
        <v>67</v>
      </c>
      <c r="C794" t="s">
        <v>16</v>
      </c>
      <c r="D794" t="s">
        <v>19</v>
      </c>
      <c r="E794" t="s">
        <v>20</v>
      </c>
      <c r="F794">
        <v>2</v>
      </c>
      <c r="G794">
        <v>1586</v>
      </c>
      <c r="H794">
        <v>308.94</v>
      </c>
    </row>
    <row r="795" spans="1:8" x14ac:dyDescent="0.3">
      <c r="A795" s="1">
        <v>45960</v>
      </c>
      <c r="B795" t="s">
        <v>74</v>
      </c>
      <c r="C795" t="s">
        <v>9</v>
      </c>
      <c r="D795" t="s">
        <v>36</v>
      </c>
      <c r="E795" t="s">
        <v>11</v>
      </c>
      <c r="F795">
        <v>11</v>
      </c>
      <c r="G795">
        <v>45826</v>
      </c>
      <c r="H795">
        <v>3840.94</v>
      </c>
    </row>
    <row r="796" spans="1:8" x14ac:dyDescent="0.3">
      <c r="A796" s="1">
        <v>45951</v>
      </c>
      <c r="B796" t="s">
        <v>170</v>
      </c>
      <c r="C796" t="s">
        <v>9</v>
      </c>
      <c r="D796" t="s">
        <v>26</v>
      </c>
      <c r="E796" t="s">
        <v>27</v>
      </c>
      <c r="F796">
        <v>3</v>
      </c>
      <c r="G796">
        <v>342</v>
      </c>
      <c r="H796">
        <v>63.96</v>
      </c>
    </row>
    <row r="797" spans="1:8" x14ac:dyDescent="0.3">
      <c r="A797" s="1">
        <v>45951</v>
      </c>
      <c r="B797" t="s">
        <v>53</v>
      </c>
      <c r="C797" t="s">
        <v>29</v>
      </c>
      <c r="D797" t="s">
        <v>36</v>
      </c>
      <c r="E797" t="s">
        <v>11</v>
      </c>
      <c r="F797">
        <v>1</v>
      </c>
      <c r="G797">
        <v>2162</v>
      </c>
      <c r="H797">
        <v>267.88</v>
      </c>
    </row>
    <row r="798" spans="1:8" x14ac:dyDescent="0.3">
      <c r="A798" s="1">
        <v>45865</v>
      </c>
      <c r="B798" t="s">
        <v>280</v>
      </c>
      <c r="C798" t="s">
        <v>16</v>
      </c>
      <c r="D798" t="s">
        <v>26</v>
      </c>
      <c r="E798" t="s">
        <v>27</v>
      </c>
      <c r="F798">
        <v>10</v>
      </c>
      <c r="G798">
        <v>2430</v>
      </c>
      <c r="H798">
        <v>202.09</v>
      </c>
    </row>
    <row r="799" spans="1:8" x14ac:dyDescent="0.3">
      <c r="A799" s="1">
        <v>45768</v>
      </c>
      <c r="B799" t="s">
        <v>295</v>
      </c>
      <c r="C799" t="s">
        <v>18</v>
      </c>
      <c r="D799" t="s">
        <v>43</v>
      </c>
      <c r="E799" t="s">
        <v>44</v>
      </c>
      <c r="F799">
        <v>10</v>
      </c>
      <c r="G799">
        <v>117230</v>
      </c>
      <c r="H799">
        <v>26662.959999999999</v>
      </c>
    </row>
    <row r="800" spans="1:8" x14ac:dyDescent="0.3">
      <c r="A800" s="1">
        <v>45868</v>
      </c>
      <c r="B800" t="s">
        <v>101</v>
      </c>
      <c r="C800" t="s">
        <v>35</v>
      </c>
      <c r="D800" t="s">
        <v>26</v>
      </c>
      <c r="E800" t="s">
        <v>27</v>
      </c>
      <c r="F800">
        <v>3</v>
      </c>
      <c r="G800">
        <v>849</v>
      </c>
      <c r="H800">
        <v>152.01</v>
      </c>
    </row>
    <row r="801" spans="1:8" x14ac:dyDescent="0.3">
      <c r="A801" s="1">
        <v>45995</v>
      </c>
      <c r="B801" t="s">
        <v>227</v>
      </c>
      <c r="C801" t="s">
        <v>9</v>
      </c>
      <c r="D801" t="s">
        <v>62</v>
      </c>
      <c r="E801" t="s">
        <v>27</v>
      </c>
      <c r="F801">
        <v>5</v>
      </c>
      <c r="G801">
        <v>460</v>
      </c>
      <c r="H801">
        <v>93.43</v>
      </c>
    </row>
    <row r="802" spans="1:8" x14ac:dyDescent="0.3">
      <c r="A802" s="1">
        <v>45890</v>
      </c>
      <c r="B802" t="s">
        <v>202</v>
      </c>
      <c r="C802" t="s">
        <v>9</v>
      </c>
      <c r="D802" t="s">
        <v>26</v>
      </c>
      <c r="E802" t="s">
        <v>27</v>
      </c>
      <c r="F802">
        <v>10</v>
      </c>
      <c r="G802">
        <v>970</v>
      </c>
      <c r="H802">
        <v>115.5</v>
      </c>
    </row>
    <row r="803" spans="1:8" x14ac:dyDescent="0.3">
      <c r="A803" s="1">
        <v>45713</v>
      </c>
      <c r="B803" t="s">
        <v>128</v>
      </c>
      <c r="C803" t="s">
        <v>29</v>
      </c>
      <c r="D803" t="s">
        <v>54</v>
      </c>
      <c r="E803" t="s">
        <v>11</v>
      </c>
      <c r="F803">
        <v>4</v>
      </c>
      <c r="G803">
        <v>248512</v>
      </c>
      <c r="H803">
        <v>56196.160000000003</v>
      </c>
    </row>
    <row r="804" spans="1:8" x14ac:dyDescent="0.3">
      <c r="A804" s="1">
        <v>45872</v>
      </c>
      <c r="B804" t="s">
        <v>255</v>
      </c>
      <c r="C804" t="s">
        <v>16</v>
      </c>
      <c r="D804" t="s">
        <v>56</v>
      </c>
      <c r="E804" t="s">
        <v>31</v>
      </c>
      <c r="F804">
        <v>3</v>
      </c>
      <c r="G804">
        <v>5220</v>
      </c>
      <c r="H804">
        <v>503.06</v>
      </c>
    </row>
    <row r="805" spans="1:8" x14ac:dyDescent="0.3">
      <c r="A805" s="1">
        <v>45972</v>
      </c>
      <c r="B805" t="s">
        <v>293</v>
      </c>
      <c r="C805" t="s">
        <v>35</v>
      </c>
      <c r="D805" t="s">
        <v>26</v>
      </c>
      <c r="E805" t="s">
        <v>27</v>
      </c>
      <c r="F805">
        <v>1</v>
      </c>
      <c r="G805">
        <v>280</v>
      </c>
      <c r="H805">
        <v>47.7</v>
      </c>
    </row>
    <row r="806" spans="1:8" x14ac:dyDescent="0.3">
      <c r="A806" s="1">
        <v>45904</v>
      </c>
      <c r="B806" t="s">
        <v>168</v>
      </c>
      <c r="C806" t="s">
        <v>35</v>
      </c>
      <c r="D806" t="s">
        <v>13</v>
      </c>
      <c r="E806" t="s">
        <v>14</v>
      </c>
      <c r="F806">
        <v>3</v>
      </c>
      <c r="G806">
        <v>9513</v>
      </c>
      <c r="H806">
        <v>1633.18</v>
      </c>
    </row>
    <row r="807" spans="1:8" x14ac:dyDescent="0.3">
      <c r="A807" s="1">
        <v>46005</v>
      </c>
      <c r="B807" t="s">
        <v>312</v>
      </c>
      <c r="C807" t="s">
        <v>35</v>
      </c>
      <c r="D807" t="s">
        <v>13</v>
      </c>
      <c r="E807" t="s">
        <v>14</v>
      </c>
      <c r="F807">
        <v>7</v>
      </c>
      <c r="G807">
        <v>19866</v>
      </c>
      <c r="H807">
        <v>3010.02</v>
      </c>
    </row>
    <row r="808" spans="1:8" x14ac:dyDescent="0.3">
      <c r="A808" s="1">
        <v>45929</v>
      </c>
      <c r="B808" t="s">
        <v>131</v>
      </c>
      <c r="C808" t="s">
        <v>16</v>
      </c>
      <c r="D808" t="s">
        <v>47</v>
      </c>
      <c r="E808" t="s">
        <v>44</v>
      </c>
      <c r="F808">
        <v>4</v>
      </c>
      <c r="G808">
        <v>51596</v>
      </c>
      <c r="H808">
        <v>11053.12</v>
      </c>
    </row>
    <row r="809" spans="1:8" x14ac:dyDescent="0.3">
      <c r="A809" s="1">
        <v>45959</v>
      </c>
      <c r="B809" t="s">
        <v>88</v>
      </c>
      <c r="C809" t="s">
        <v>18</v>
      </c>
      <c r="D809" t="s">
        <v>52</v>
      </c>
      <c r="E809" t="s">
        <v>31</v>
      </c>
      <c r="F809">
        <v>12</v>
      </c>
      <c r="G809">
        <v>71028</v>
      </c>
      <c r="H809">
        <v>6862.15</v>
      </c>
    </row>
    <row r="810" spans="1:8" x14ac:dyDescent="0.3">
      <c r="A810" s="1">
        <v>45902</v>
      </c>
      <c r="B810" t="s">
        <v>156</v>
      </c>
      <c r="C810" t="s">
        <v>9</v>
      </c>
      <c r="D810" t="s">
        <v>52</v>
      </c>
      <c r="E810" t="s">
        <v>31</v>
      </c>
      <c r="F810">
        <v>4</v>
      </c>
      <c r="G810">
        <v>7544</v>
      </c>
      <c r="H810">
        <v>966.8</v>
      </c>
    </row>
    <row r="811" spans="1:8" x14ac:dyDescent="0.3">
      <c r="A811" s="1">
        <v>45789</v>
      </c>
      <c r="B811" t="s">
        <v>313</v>
      </c>
      <c r="C811" t="s">
        <v>16</v>
      </c>
      <c r="D811" t="s">
        <v>24</v>
      </c>
      <c r="E811" t="s">
        <v>11</v>
      </c>
      <c r="F811">
        <v>1</v>
      </c>
      <c r="G811">
        <v>1952</v>
      </c>
      <c r="H811">
        <v>402.93</v>
      </c>
    </row>
    <row r="812" spans="1:8" x14ac:dyDescent="0.3">
      <c r="A812" s="1">
        <v>45925</v>
      </c>
      <c r="B812" t="s">
        <v>302</v>
      </c>
      <c r="C812" t="s">
        <v>35</v>
      </c>
      <c r="D812" t="s">
        <v>10</v>
      </c>
      <c r="E812" t="s">
        <v>11</v>
      </c>
      <c r="F812">
        <v>9</v>
      </c>
      <c r="G812">
        <v>110115</v>
      </c>
      <c r="H812">
        <v>15829.59</v>
      </c>
    </row>
    <row r="813" spans="1:8" x14ac:dyDescent="0.3">
      <c r="A813" s="1">
        <v>45819</v>
      </c>
      <c r="B813" t="s">
        <v>236</v>
      </c>
      <c r="C813" t="s">
        <v>9</v>
      </c>
      <c r="D813" t="s">
        <v>47</v>
      </c>
      <c r="E813" t="s">
        <v>44</v>
      </c>
      <c r="F813">
        <v>6</v>
      </c>
      <c r="G813">
        <v>40476</v>
      </c>
      <c r="H813">
        <v>4303.1000000000004</v>
      </c>
    </row>
    <row r="814" spans="1:8" x14ac:dyDescent="0.3">
      <c r="A814" s="1">
        <v>45791</v>
      </c>
      <c r="B814" t="s">
        <v>172</v>
      </c>
      <c r="C814" t="s">
        <v>9</v>
      </c>
      <c r="D814" t="s">
        <v>56</v>
      </c>
      <c r="E814" t="s">
        <v>31</v>
      </c>
      <c r="F814">
        <v>9</v>
      </c>
      <c r="G814">
        <v>12303</v>
      </c>
      <c r="H814">
        <v>2165.25</v>
      </c>
    </row>
    <row r="815" spans="1:8" x14ac:dyDescent="0.3">
      <c r="A815" s="1">
        <v>46006</v>
      </c>
      <c r="B815" t="s">
        <v>153</v>
      </c>
      <c r="C815" t="s">
        <v>35</v>
      </c>
      <c r="D815" t="s">
        <v>47</v>
      </c>
      <c r="E815" t="s">
        <v>44</v>
      </c>
      <c r="F815">
        <v>4</v>
      </c>
      <c r="G815">
        <v>47080</v>
      </c>
      <c r="H815">
        <v>8185.23</v>
      </c>
    </row>
    <row r="816" spans="1:8" x14ac:dyDescent="0.3">
      <c r="A816" s="1">
        <v>45749</v>
      </c>
      <c r="B816" t="s">
        <v>146</v>
      </c>
      <c r="C816" t="s">
        <v>35</v>
      </c>
      <c r="D816" t="s">
        <v>40</v>
      </c>
      <c r="E816" t="s">
        <v>11</v>
      </c>
      <c r="F816">
        <v>9</v>
      </c>
      <c r="G816">
        <v>214659</v>
      </c>
      <c r="H816">
        <v>26433.58</v>
      </c>
    </row>
    <row r="817" spans="1:8" x14ac:dyDescent="0.3">
      <c r="A817" s="1">
        <v>45834</v>
      </c>
      <c r="B817" t="s">
        <v>314</v>
      </c>
      <c r="C817" t="s">
        <v>9</v>
      </c>
      <c r="D817" t="s">
        <v>52</v>
      </c>
      <c r="E817" t="s">
        <v>31</v>
      </c>
      <c r="F817">
        <v>12</v>
      </c>
      <c r="G817">
        <v>53532</v>
      </c>
      <c r="H817">
        <v>10978.5</v>
      </c>
    </row>
    <row r="818" spans="1:8" x14ac:dyDescent="0.3">
      <c r="A818" s="1">
        <v>45775</v>
      </c>
      <c r="B818" t="s">
        <v>98</v>
      </c>
      <c r="C818" t="s">
        <v>29</v>
      </c>
      <c r="D818" t="s">
        <v>43</v>
      </c>
      <c r="E818" t="s">
        <v>44</v>
      </c>
      <c r="F818">
        <v>12</v>
      </c>
      <c r="G818">
        <v>79800</v>
      </c>
      <c r="H818">
        <v>7744.38</v>
      </c>
    </row>
    <row r="819" spans="1:8" x14ac:dyDescent="0.3">
      <c r="A819" s="1">
        <v>45831</v>
      </c>
      <c r="B819" t="s">
        <v>315</v>
      </c>
      <c r="C819" t="s">
        <v>9</v>
      </c>
      <c r="D819" t="s">
        <v>52</v>
      </c>
      <c r="E819" t="s">
        <v>31</v>
      </c>
      <c r="F819">
        <v>9</v>
      </c>
      <c r="G819">
        <v>14634</v>
      </c>
      <c r="H819">
        <v>1570.6</v>
      </c>
    </row>
    <row r="820" spans="1:8" x14ac:dyDescent="0.3">
      <c r="A820" s="1">
        <v>45704</v>
      </c>
      <c r="B820" t="s">
        <v>273</v>
      </c>
      <c r="C820" t="s">
        <v>18</v>
      </c>
      <c r="D820" t="s">
        <v>56</v>
      </c>
      <c r="E820" t="s">
        <v>31</v>
      </c>
      <c r="F820">
        <v>3</v>
      </c>
      <c r="G820">
        <v>4395</v>
      </c>
      <c r="H820">
        <v>1043.3599999999999</v>
      </c>
    </row>
    <row r="821" spans="1:8" x14ac:dyDescent="0.3">
      <c r="A821" s="1">
        <v>45690</v>
      </c>
      <c r="B821" t="s">
        <v>312</v>
      </c>
      <c r="C821" t="s">
        <v>18</v>
      </c>
      <c r="D821" t="s">
        <v>22</v>
      </c>
      <c r="E821" t="s">
        <v>11</v>
      </c>
      <c r="F821">
        <v>4</v>
      </c>
      <c r="G821">
        <v>4236</v>
      </c>
      <c r="H821">
        <v>396.52</v>
      </c>
    </row>
    <row r="822" spans="1:8" x14ac:dyDescent="0.3">
      <c r="A822" s="1">
        <v>45854</v>
      </c>
      <c r="B822" t="s">
        <v>80</v>
      </c>
      <c r="C822" t="s">
        <v>29</v>
      </c>
      <c r="D822" t="s">
        <v>30</v>
      </c>
      <c r="E822" t="s">
        <v>31</v>
      </c>
      <c r="F822">
        <v>7</v>
      </c>
      <c r="G822">
        <v>23338</v>
      </c>
      <c r="H822">
        <v>3003.6</v>
      </c>
    </row>
    <row r="823" spans="1:8" x14ac:dyDescent="0.3">
      <c r="A823" s="1">
        <v>45747</v>
      </c>
      <c r="B823" t="s">
        <v>184</v>
      </c>
      <c r="C823" t="s">
        <v>16</v>
      </c>
      <c r="D823" t="s">
        <v>13</v>
      </c>
      <c r="E823" t="s">
        <v>14</v>
      </c>
      <c r="F823">
        <v>8</v>
      </c>
      <c r="G823">
        <v>19984</v>
      </c>
      <c r="H823">
        <v>1635.11</v>
      </c>
    </row>
    <row r="824" spans="1:8" x14ac:dyDescent="0.3">
      <c r="A824" s="1">
        <v>45757</v>
      </c>
      <c r="B824" t="s">
        <v>316</v>
      </c>
      <c r="C824" t="s">
        <v>9</v>
      </c>
      <c r="D824" t="s">
        <v>54</v>
      </c>
      <c r="E824" t="s">
        <v>11</v>
      </c>
      <c r="F824">
        <v>10</v>
      </c>
      <c r="G824">
        <v>617290</v>
      </c>
      <c r="H824">
        <v>103512.32000000001</v>
      </c>
    </row>
    <row r="825" spans="1:8" x14ac:dyDescent="0.3">
      <c r="A825" s="1">
        <v>45744</v>
      </c>
      <c r="B825" t="s">
        <v>183</v>
      </c>
      <c r="C825" t="s">
        <v>18</v>
      </c>
      <c r="D825" t="s">
        <v>13</v>
      </c>
      <c r="E825" t="s">
        <v>14</v>
      </c>
      <c r="F825">
        <v>1</v>
      </c>
      <c r="G825">
        <v>2173</v>
      </c>
      <c r="H825">
        <v>262.22000000000003</v>
      </c>
    </row>
    <row r="826" spans="1:8" x14ac:dyDescent="0.3">
      <c r="A826" s="1">
        <v>45702</v>
      </c>
      <c r="B826" t="s">
        <v>257</v>
      </c>
      <c r="C826" t="s">
        <v>9</v>
      </c>
      <c r="D826" t="s">
        <v>22</v>
      </c>
      <c r="E826" t="s">
        <v>11</v>
      </c>
      <c r="F826">
        <v>7</v>
      </c>
      <c r="G826">
        <v>7161</v>
      </c>
      <c r="H826">
        <v>1388.11</v>
      </c>
    </row>
    <row r="827" spans="1:8" x14ac:dyDescent="0.3">
      <c r="A827" s="1">
        <v>45760</v>
      </c>
      <c r="B827" t="s">
        <v>127</v>
      </c>
      <c r="C827" t="s">
        <v>29</v>
      </c>
      <c r="D827" t="s">
        <v>62</v>
      </c>
      <c r="E827" t="s">
        <v>27</v>
      </c>
      <c r="F827">
        <v>1</v>
      </c>
      <c r="G827">
        <v>238</v>
      </c>
      <c r="H827">
        <v>47.51</v>
      </c>
    </row>
    <row r="828" spans="1:8" x14ac:dyDescent="0.3">
      <c r="A828" s="1">
        <v>45803</v>
      </c>
      <c r="B828" t="s">
        <v>221</v>
      </c>
      <c r="C828" t="s">
        <v>35</v>
      </c>
      <c r="D828" t="s">
        <v>19</v>
      </c>
      <c r="E828" t="s">
        <v>20</v>
      </c>
      <c r="F828">
        <v>9</v>
      </c>
      <c r="G828">
        <v>8064</v>
      </c>
      <c r="H828">
        <v>1122.32</v>
      </c>
    </row>
    <row r="829" spans="1:8" x14ac:dyDescent="0.3">
      <c r="A829" s="1">
        <v>45968</v>
      </c>
      <c r="B829" t="s">
        <v>241</v>
      </c>
      <c r="C829" t="s">
        <v>29</v>
      </c>
      <c r="D829" t="s">
        <v>24</v>
      </c>
      <c r="E829" t="s">
        <v>11</v>
      </c>
      <c r="F829">
        <v>8</v>
      </c>
      <c r="G829">
        <v>19232</v>
      </c>
      <c r="H829">
        <v>2859.27</v>
      </c>
    </row>
    <row r="830" spans="1:8" x14ac:dyDescent="0.3">
      <c r="A830" s="1">
        <v>45747</v>
      </c>
      <c r="B830" t="s">
        <v>184</v>
      </c>
      <c r="C830" t="s">
        <v>29</v>
      </c>
      <c r="D830" t="s">
        <v>47</v>
      </c>
      <c r="E830" t="s">
        <v>44</v>
      </c>
      <c r="F830">
        <v>9</v>
      </c>
      <c r="G830">
        <v>60696</v>
      </c>
      <c r="H830">
        <v>10619.81</v>
      </c>
    </row>
    <row r="831" spans="1:8" x14ac:dyDescent="0.3">
      <c r="A831" s="1">
        <v>45832</v>
      </c>
      <c r="B831" t="s">
        <v>236</v>
      </c>
      <c r="C831" t="s">
        <v>29</v>
      </c>
      <c r="D831" t="s">
        <v>10</v>
      </c>
      <c r="E831" t="s">
        <v>11</v>
      </c>
      <c r="F831">
        <v>9</v>
      </c>
      <c r="G831">
        <v>183996</v>
      </c>
      <c r="H831">
        <v>42123.9</v>
      </c>
    </row>
    <row r="832" spans="1:8" x14ac:dyDescent="0.3">
      <c r="A832" s="1">
        <v>46013</v>
      </c>
      <c r="B832" t="s">
        <v>32</v>
      </c>
      <c r="C832" t="s">
        <v>18</v>
      </c>
      <c r="D832" t="s">
        <v>43</v>
      </c>
      <c r="E832" t="s">
        <v>44</v>
      </c>
      <c r="F832">
        <v>7</v>
      </c>
      <c r="G832">
        <v>92582</v>
      </c>
      <c r="H832">
        <v>15018.38</v>
      </c>
    </row>
    <row r="833" spans="1:8" x14ac:dyDescent="0.3">
      <c r="A833" s="1">
        <v>45831</v>
      </c>
      <c r="B833" t="s">
        <v>230</v>
      </c>
      <c r="C833" t="s">
        <v>29</v>
      </c>
      <c r="D833" t="s">
        <v>52</v>
      </c>
      <c r="E833" t="s">
        <v>31</v>
      </c>
      <c r="F833">
        <v>8</v>
      </c>
      <c r="G833">
        <v>39792</v>
      </c>
      <c r="H833">
        <v>9248.02</v>
      </c>
    </row>
    <row r="834" spans="1:8" x14ac:dyDescent="0.3">
      <c r="A834" s="1">
        <v>45717</v>
      </c>
      <c r="B834" t="s">
        <v>290</v>
      </c>
      <c r="C834" t="s">
        <v>35</v>
      </c>
      <c r="D834" t="s">
        <v>22</v>
      </c>
      <c r="E834" t="s">
        <v>11</v>
      </c>
      <c r="F834">
        <v>2</v>
      </c>
      <c r="G834">
        <v>2166</v>
      </c>
      <c r="H834">
        <v>406.61</v>
      </c>
    </row>
    <row r="835" spans="1:8" x14ac:dyDescent="0.3">
      <c r="A835" s="1">
        <v>46017</v>
      </c>
      <c r="B835" t="s">
        <v>213</v>
      </c>
      <c r="C835" t="s">
        <v>35</v>
      </c>
      <c r="D835" t="s">
        <v>24</v>
      </c>
      <c r="E835" t="s">
        <v>11</v>
      </c>
      <c r="F835">
        <v>6</v>
      </c>
      <c r="G835">
        <v>8064</v>
      </c>
      <c r="H835">
        <v>1954.92</v>
      </c>
    </row>
    <row r="836" spans="1:8" x14ac:dyDescent="0.3">
      <c r="A836" s="1">
        <v>45662</v>
      </c>
      <c r="B836" t="s">
        <v>63</v>
      </c>
      <c r="C836" t="s">
        <v>35</v>
      </c>
      <c r="D836" t="s">
        <v>19</v>
      </c>
      <c r="E836" t="s">
        <v>20</v>
      </c>
      <c r="F836">
        <v>5</v>
      </c>
      <c r="G836">
        <v>2770</v>
      </c>
      <c r="H836">
        <v>356.88</v>
      </c>
    </row>
    <row r="837" spans="1:8" x14ac:dyDescent="0.3">
      <c r="A837" s="1">
        <v>45833</v>
      </c>
      <c r="B837" t="s">
        <v>121</v>
      </c>
      <c r="C837" t="s">
        <v>16</v>
      </c>
      <c r="D837" t="s">
        <v>10</v>
      </c>
      <c r="E837" t="s">
        <v>11</v>
      </c>
      <c r="F837">
        <v>9</v>
      </c>
      <c r="G837">
        <v>160632</v>
      </c>
      <c r="H837">
        <v>25864.07</v>
      </c>
    </row>
    <row r="838" spans="1:8" x14ac:dyDescent="0.3">
      <c r="A838" s="1">
        <v>45951</v>
      </c>
      <c r="B838" t="s">
        <v>119</v>
      </c>
      <c r="C838" t="s">
        <v>29</v>
      </c>
      <c r="D838" t="s">
        <v>22</v>
      </c>
      <c r="E838" t="s">
        <v>11</v>
      </c>
      <c r="F838">
        <v>3</v>
      </c>
      <c r="G838">
        <v>5097</v>
      </c>
      <c r="H838">
        <v>1213.82</v>
      </c>
    </row>
    <row r="839" spans="1:8" x14ac:dyDescent="0.3">
      <c r="A839" s="1">
        <v>45760</v>
      </c>
      <c r="B839" t="s">
        <v>266</v>
      </c>
      <c r="C839" t="s">
        <v>35</v>
      </c>
      <c r="D839" t="s">
        <v>24</v>
      </c>
      <c r="E839" t="s">
        <v>11</v>
      </c>
      <c r="F839">
        <v>12</v>
      </c>
      <c r="G839">
        <v>11940</v>
      </c>
      <c r="H839">
        <v>2726.69</v>
      </c>
    </row>
    <row r="840" spans="1:8" x14ac:dyDescent="0.3">
      <c r="A840" s="1">
        <v>45761</v>
      </c>
      <c r="B840" t="s">
        <v>293</v>
      </c>
      <c r="C840" t="s">
        <v>16</v>
      </c>
      <c r="D840" t="s">
        <v>56</v>
      </c>
      <c r="E840" t="s">
        <v>31</v>
      </c>
      <c r="F840">
        <v>4</v>
      </c>
      <c r="G840">
        <v>7064</v>
      </c>
      <c r="H840">
        <v>992.67</v>
      </c>
    </row>
    <row r="841" spans="1:8" x14ac:dyDescent="0.3">
      <c r="A841" s="1">
        <v>45698</v>
      </c>
      <c r="B841" t="s">
        <v>77</v>
      </c>
      <c r="C841" t="s">
        <v>29</v>
      </c>
      <c r="D841" t="s">
        <v>13</v>
      </c>
      <c r="E841" t="s">
        <v>14</v>
      </c>
      <c r="F841">
        <v>11</v>
      </c>
      <c r="G841">
        <v>29887</v>
      </c>
      <c r="H841">
        <v>5509.69</v>
      </c>
    </row>
    <row r="842" spans="1:8" x14ac:dyDescent="0.3">
      <c r="A842" s="1">
        <v>45904</v>
      </c>
      <c r="B842" t="s">
        <v>289</v>
      </c>
      <c r="C842" t="s">
        <v>29</v>
      </c>
      <c r="D842" t="s">
        <v>40</v>
      </c>
      <c r="E842" t="s">
        <v>11</v>
      </c>
      <c r="F842">
        <v>10</v>
      </c>
      <c r="G842">
        <v>183350</v>
      </c>
      <c r="H842">
        <v>30014</v>
      </c>
    </row>
    <row r="843" spans="1:8" x14ac:dyDescent="0.3">
      <c r="A843" s="1">
        <v>45798</v>
      </c>
      <c r="B843" t="s">
        <v>32</v>
      </c>
      <c r="C843" t="s">
        <v>9</v>
      </c>
      <c r="D843" t="s">
        <v>43</v>
      </c>
      <c r="E843" t="s">
        <v>44</v>
      </c>
      <c r="F843">
        <v>3</v>
      </c>
      <c r="G843">
        <v>37122</v>
      </c>
      <c r="H843">
        <v>4738.45</v>
      </c>
    </row>
    <row r="844" spans="1:8" x14ac:dyDescent="0.3">
      <c r="A844" s="1">
        <v>45953</v>
      </c>
      <c r="B844" t="s">
        <v>77</v>
      </c>
      <c r="C844" t="s">
        <v>29</v>
      </c>
      <c r="D844" t="s">
        <v>36</v>
      </c>
      <c r="E844" t="s">
        <v>11</v>
      </c>
      <c r="F844">
        <v>1</v>
      </c>
      <c r="G844">
        <v>4266</v>
      </c>
      <c r="H844">
        <v>688.17</v>
      </c>
    </row>
    <row r="845" spans="1:8" x14ac:dyDescent="0.3">
      <c r="A845" s="1">
        <v>45915</v>
      </c>
      <c r="B845" t="s">
        <v>314</v>
      </c>
      <c r="C845" t="s">
        <v>9</v>
      </c>
      <c r="D845" t="s">
        <v>40</v>
      </c>
      <c r="E845" t="s">
        <v>11</v>
      </c>
      <c r="F845">
        <v>7</v>
      </c>
      <c r="G845">
        <v>96089</v>
      </c>
      <c r="H845">
        <v>15155.48</v>
      </c>
    </row>
    <row r="846" spans="1:8" x14ac:dyDescent="0.3">
      <c r="A846" s="1">
        <v>45923</v>
      </c>
      <c r="B846" t="s">
        <v>97</v>
      </c>
      <c r="C846" t="s">
        <v>18</v>
      </c>
      <c r="D846" t="s">
        <v>43</v>
      </c>
      <c r="E846" t="s">
        <v>44</v>
      </c>
      <c r="F846">
        <v>6</v>
      </c>
      <c r="G846">
        <v>24822</v>
      </c>
      <c r="H846">
        <v>2035.64</v>
      </c>
    </row>
    <row r="847" spans="1:8" x14ac:dyDescent="0.3">
      <c r="A847" s="1">
        <v>45955</v>
      </c>
      <c r="B847" t="s">
        <v>42</v>
      </c>
      <c r="C847" t="s">
        <v>18</v>
      </c>
      <c r="D847" t="s">
        <v>10</v>
      </c>
      <c r="E847" t="s">
        <v>11</v>
      </c>
      <c r="F847">
        <v>6</v>
      </c>
      <c r="G847">
        <v>143088</v>
      </c>
      <c r="H847">
        <v>26352.84</v>
      </c>
    </row>
    <row r="848" spans="1:8" x14ac:dyDescent="0.3">
      <c r="A848" s="1">
        <v>45938</v>
      </c>
      <c r="B848" t="s">
        <v>212</v>
      </c>
      <c r="C848" t="s">
        <v>16</v>
      </c>
      <c r="D848" t="s">
        <v>22</v>
      </c>
      <c r="E848" t="s">
        <v>11</v>
      </c>
      <c r="F848">
        <v>4</v>
      </c>
      <c r="G848">
        <v>3404</v>
      </c>
      <c r="H848">
        <v>545.08000000000004</v>
      </c>
    </row>
    <row r="849" spans="1:8" x14ac:dyDescent="0.3">
      <c r="A849" s="1">
        <v>45845</v>
      </c>
      <c r="B849" t="s">
        <v>160</v>
      </c>
      <c r="C849" t="s">
        <v>9</v>
      </c>
      <c r="D849" t="s">
        <v>36</v>
      </c>
      <c r="E849" t="s">
        <v>11</v>
      </c>
      <c r="F849">
        <v>8</v>
      </c>
      <c r="G849">
        <v>34176</v>
      </c>
      <c r="H849">
        <v>3957.26</v>
      </c>
    </row>
    <row r="850" spans="1:8" x14ac:dyDescent="0.3">
      <c r="A850" s="1">
        <v>45863</v>
      </c>
      <c r="B850" t="s">
        <v>144</v>
      </c>
      <c r="C850" t="s">
        <v>18</v>
      </c>
      <c r="D850" t="s">
        <v>22</v>
      </c>
      <c r="E850" t="s">
        <v>11</v>
      </c>
      <c r="F850">
        <v>8</v>
      </c>
      <c r="G850">
        <v>5344</v>
      </c>
      <c r="H850">
        <v>946.63</v>
      </c>
    </row>
    <row r="851" spans="1:8" x14ac:dyDescent="0.3">
      <c r="A851" s="1">
        <v>45775</v>
      </c>
      <c r="B851" t="s">
        <v>156</v>
      </c>
      <c r="C851" t="s">
        <v>18</v>
      </c>
      <c r="D851" t="s">
        <v>56</v>
      </c>
      <c r="E851" t="s">
        <v>31</v>
      </c>
      <c r="F851">
        <v>2</v>
      </c>
      <c r="G851">
        <v>2104</v>
      </c>
      <c r="H851">
        <v>455.93</v>
      </c>
    </row>
    <row r="852" spans="1:8" x14ac:dyDescent="0.3">
      <c r="A852" s="1">
        <v>45853</v>
      </c>
      <c r="B852" t="s">
        <v>157</v>
      </c>
      <c r="C852" t="s">
        <v>18</v>
      </c>
      <c r="D852" t="s">
        <v>24</v>
      </c>
      <c r="E852" t="s">
        <v>11</v>
      </c>
      <c r="F852">
        <v>3</v>
      </c>
      <c r="G852">
        <v>6414</v>
      </c>
      <c r="H852">
        <v>1558.96</v>
      </c>
    </row>
    <row r="853" spans="1:8" x14ac:dyDescent="0.3">
      <c r="A853" s="1">
        <v>45662</v>
      </c>
      <c r="B853" t="s">
        <v>213</v>
      </c>
      <c r="C853" t="s">
        <v>29</v>
      </c>
      <c r="D853" t="s">
        <v>36</v>
      </c>
      <c r="E853" t="s">
        <v>11</v>
      </c>
      <c r="F853">
        <v>7</v>
      </c>
      <c r="G853">
        <v>34244</v>
      </c>
      <c r="H853">
        <v>3522.34</v>
      </c>
    </row>
    <row r="854" spans="1:8" x14ac:dyDescent="0.3">
      <c r="A854" s="1">
        <v>45819</v>
      </c>
      <c r="B854" t="s">
        <v>228</v>
      </c>
      <c r="C854" t="s">
        <v>9</v>
      </c>
      <c r="D854" t="s">
        <v>52</v>
      </c>
      <c r="E854" t="s">
        <v>31</v>
      </c>
      <c r="F854">
        <v>8</v>
      </c>
      <c r="G854">
        <v>29256</v>
      </c>
      <c r="H854">
        <v>3588.7</v>
      </c>
    </row>
    <row r="855" spans="1:8" x14ac:dyDescent="0.3">
      <c r="A855" s="1">
        <v>45861</v>
      </c>
      <c r="B855" t="s">
        <v>71</v>
      </c>
      <c r="C855" t="s">
        <v>18</v>
      </c>
      <c r="D855" t="s">
        <v>10</v>
      </c>
      <c r="E855" t="s">
        <v>11</v>
      </c>
      <c r="F855">
        <v>12</v>
      </c>
      <c r="G855">
        <v>208224</v>
      </c>
      <c r="H855">
        <v>18783.09</v>
      </c>
    </row>
    <row r="856" spans="1:8" x14ac:dyDescent="0.3">
      <c r="A856" s="1">
        <v>45980</v>
      </c>
      <c r="B856" t="s">
        <v>179</v>
      </c>
      <c r="C856" t="s">
        <v>9</v>
      </c>
      <c r="D856" t="s">
        <v>10</v>
      </c>
      <c r="E856" t="s">
        <v>11</v>
      </c>
      <c r="F856">
        <v>8</v>
      </c>
      <c r="G856">
        <v>183728</v>
      </c>
      <c r="H856">
        <v>22811.81</v>
      </c>
    </row>
    <row r="857" spans="1:8" x14ac:dyDescent="0.3">
      <c r="A857" s="1">
        <v>45943</v>
      </c>
      <c r="B857" t="s">
        <v>23</v>
      </c>
      <c r="C857" t="s">
        <v>35</v>
      </c>
      <c r="D857" t="s">
        <v>30</v>
      </c>
      <c r="E857" t="s">
        <v>31</v>
      </c>
      <c r="F857">
        <v>5</v>
      </c>
      <c r="G857">
        <v>13045</v>
      </c>
      <c r="H857">
        <v>1087.5899999999999</v>
      </c>
    </row>
    <row r="858" spans="1:8" x14ac:dyDescent="0.3">
      <c r="A858" s="1">
        <v>46005</v>
      </c>
      <c r="B858" t="s">
        <v>139</v>
      </c>
      <c r="C858" t="s">
        <v>35</v>
      </c>
      <c r="D858" t="s">
        <v>26</v>
      </c>
      <c r="E858" t="s">
        <v>27</v>
      </c>
      <c r="F858">
        <v>4</v>
      </c>
      <c r="G858">
        <v>908</v>
      </c>
      <c r="H858">
        <v>161.54</v>
      </c>
    </row>
    <row r="859" spans="1:8" x14ac:dyDescent="0.3">
      <c r="A859" s="1">
        <v>45803</v>
      </c>
      <c r="B859" t="s">
        <v>150</v>
      </c>
      <c r="C859" t="s">
        <v>29</v>
      </c>
      <c r="D859" t="s">
        <v>40</v>
      </c>
      <c r="E859" t="s">
        <v>11</v>
      </c>
      <c r="F859">
        <v>6</v>
      </c>
      <c r="G859">
        <v>148356</v>
      </c>
      <c r="H859">
        <v>24163.33</v>
      </c>
    </row>
    <row r="860" spans="1:8" x14ac:dyDescent="0.3">
      <c r="A860" s="1">
        <v>45698</v>
      </c>
      <c r="B860" t="s">
        <v>219</v>
      </c>
      <c r="C860" t="s">
        <v>35</v>
      </c>
      <c r="D860" t="s">
        <v>47</v>
      </c>
      <c r="E860" t="s">
        <v>44</v>
      </c>
      <c r="F860">
        <v>10</v>
      </c>
      <c r="G860">
        <v>96940</v>
      </c>
      <c r="H860">
        <v>15397.74</v>
      </c>
    </row>
    <row r="861" spans="1:8" x14ac:dyDescent="0.3">
      <c r="A861" s="1">
        <v>45743</v>
      </c>
      <c r="B861" t="s">
        <v>45</v>
      </c>
      <c r="C861" t="s">
        <v>16</v>
      </c>
      <c r="D861" t="s">
        <v>13</v>
      </c>
      <c r="E861" t="s">
        <v>14</v>
      </c>
      <c r="F861">
        <v>6</v>
      </c>
      <c r="G861">
        <v>14562</v>
      </c>
      <c r="H861">
        <v>2727.7</v>
      </c>
    </row>
    <row r="862" spans="1:8" x14ac:dyDescent="0.3">
      <c r="A862" s="1">
        <v>45694</v>
      </c>
      <c r="B862" t="s">
        <v>224</v>
      </c>
      <c r="C862" t="s">
        <v>9</v>
      </c>
      <c r="D862" t="s">
        <v>10</v>
      </c>
      <c r="E862" t="s">
        <v>11</v>
      </c>
      <c r="F862">
        <v>3</v>
      </c>
      <c r="G862">
        <v>69777</v>
      </c>
      <c r="H862">
        <v>8289.2999999999993</v>
      </c>
    </row>
    <row r="863" spans="1:8" x14ac:dyDescent="0.3">
      <c r="A863" s="1">
        <v>45807</v>
      </c>
      <c r="B863" t="s">
        <v>317</v>
      </c>
      <c r="C863" t="s">
        <v>18</v>
      </c>
      <c r="D863" t="s">
        <v>19</v>
      </c>
      <c r="E863" t="s">
        <v>20</v>
      </c>
      <c r="F863">
        <v>5</v>
      </c>
      <c r="G863">
        <v>4595</v>
      </c>
      <c r="H863">
        <v>871.16</v>
      </c>
    </row>
    <row r="864" spans="1:8" x14ac:dyDescent="0.3">
      <c r="A864" s="1">
        <v>45885</v>
      </c>
      <c r="B864" t="s">
        <v>51</v>
      </c>
      <c r="C864" t="s">
        <v>16</v>
      </c>
      <c r="D864" t="s">
        <v>52</v>
      </c>
      <c r="E864" t="s">
        <v>31</v>
      </c>
      <c r="F864">
        <v>6</v>
      </c>
      <c r="G864">
        <v>32802</v>
      </c>
      <c r="H864">
        <v>8008.26</v>
      </c>
    </row>
    <row r="865" spans="1:8" x14ac:dyDescent="0.3">
      <c r="A865" s="1">
        <v>45752</v>
      </c>
      <c r="B865" t="s">
        <v>34</v>
      </c>
      <c r="C865" t="s">
        <v>16</v>
      </c>
      <c r="D865" t="s">
        <v>56</v>
      </c>
      <c r="E865" t="s">
        <v>31</v>
      </c>
      <c r="F865">
        <v>1</v>
      </c>
      <c r="G865">
        <v>756</v>
      </c>
      <c r="H865">
        <v>154.01</v>
      </c>
    </row>
    <row r="866" spans="1:8" x14ac:dyDescent="0.3">
      <c r="A866" s="1">
        <v>46016</v>
      </c>
      <c r="B866" t="s">
        <v>293</v>
      </c>
      <c r="C866" t="s">
        <v>35</v>
      </c>
      <c r="D866" t="s">
        <v>19</v>
      </c>
      <c r="E866" t="s">
        <v>20</v>
      </c>
      <c r="F866">
        <v>2</v>
      </c>
      <c r="G866">
        <v>1030</v>
      </c>
      <c r="H866">
        <v>111.63</v>
      </c>
    </row>
    <row r="867" spans="1:8" x14ac:dyDescent="0.3">
      <c r="A867" s="1">
        <v>45690</v>
      </c>
      <c r="B867" t="s">
        <v>197</v>
      </c>
      <c r="C867" t="s">
        <v>9</v>
      </c>
      <c r="D867" t="s">
        <v>30</v>
      </c>
      <c r="E867" t="s">
        <v>31</v>
      </c>
      <c r="F867">
        <v>8</v>
      </c>
      <c r="G867">
        <v>27568</v>
      </c>
      <c r="H867">
        <v>2457.6999999999998</v>
      </c>
    </row>
    <row r="868" spans="1:8" x14ac:dyDescent="0.3">
      <c r="A868" s="1">
        <v>45700</v>
      </c>
      <c r="B868" t="s">
        <v>249</v>
      </c>
      <c r="C868" t="s">
        <v>18</v>
      </c>
      <c r="D868" t="s">
        <v>10</v>
      </c>
      <c r="E868" t="s">
        <v>11</v>
      </c>
      <c r="F868">
        <v>5</v>
      </c>
      <c r="G868">
        <v>161265</v>
      </c>
      <c r="H868">
        <v>17158.05</v>
      </c>
    </row>
    <row r="869" spans="1:8" x14ac:dyDescent="0.3">
      <c r="A869" s="1">
        <v>45775</v>
      </c>
      <c r="B869" t="s">
        <v>182</v>
      </c>
      <c r="C869" t="s">
        <v>16</v>
      </c>
      <c r="D869" t="s">
        <v>24</v>
      </c>
      <c r="E869" t="s">
        <v>11</v>
      </c>
      <c r="F869">
        <v>12</v>
      </c>
      <c r="G869">
        <v>12972</v>
      </c>
      <c r="H869">
        <v>2015.04</v>
      </c>
    </row>
    <row r="870" spans="1:8" x14ac:dyDescent="0.3">
      <c r="A870" s="1">
        <v>45927</v>
      </c>
      <c r="B870" t="s">
        <v>297</v>
      </c>
      <c r="C870" t="s">
        <v>29</v>
      </c>
      <c r="D870" t="s">
        <v>56</v>
      </c>
      <c r="E870" t="s">
        <v>31</v>
      </c>
      <c r="F870">
        <v>3</v>
      </c>
      <c r="G870">
        <v>1674</v>
      </c>
      <c r="H870">
        <v>143.91999999999999</v>
      </c>
    </row>
    <row r="871" spans="1:8" x14ac:dyDescent="0.3">
      <c r="A871" s="1">
        <v>45824</v>
      </c>
      <c r="B871" t="s">
        <v>248</v>
      </c>
      <c r="C871" t="s">
        <v>18</v>
      </c>
      <c r="D871" t="s">
        <v>56</v>
      </c>
      <c r="E871" t="s">
        <v>31</v>
      </c>
      <c r="F871">
        <v>8</v>
      </c>
      <c r="G871">
        <v>11648</v>
      </c>
      <c r="H871">
        <v>2862.46</v>
      </c>
    </row>
    <row r="872" spans="1:8" x14ac:dyDescent="0.3">
      <c r="A872" s="1">
        <v>45797</v>
      </c>
      <c r="B872" t="s">
        <v>139</v>
      </c>
      <c r="C872" t="s">
        <v>35</v>
      </c>
      <c r="D872" t="s">
        <v>62</v>
      </c>
      <c r="E872" t="s">
        <v>27</v>
      </c>
      <c r="F872">
        <v>8</v>
      </c>
      <c r="G872">
        <v>672</v>
      </c>
      <c r="H872">
        <v>164.52</v>
      </c>
    </row>
    <row r="873" spans="1:8" x14ac:dyDescent="0.3">
      <c r="A873" s="1">
        <v>45960</v>
      </c>
      <c r="B873" t="s">
        <v>45</v>
      </c>
      <c r="C873" t="s">
        <v>9</v>
      </c>
      <c r="D873" t="s">
        <v>26</v>
      </c>
      <c r="E873" t="s">
        <v>27</v>
      </c>
      <c r="F873">
        <v>8</v>
      </c>
      <c r="G873">
        <v>1928</v>
      </c>
      <c r="H873">
        <v>399.7</v>
      </c>
    </row>
    <row r="874" spans="1:8" x14ac:dyDescent="0.3">
      <c r="A874" s="1">
        <v>45926</v>
      </c>
      <c r="B874" t="s">
        <v>298</v>
      </c>
      <c r="C874" t="s">
        <v>29</v>
      </c>
      <c r="D874" t="s">
        <v>13</v>
      </c>
      <c r="E874" t="s">
        <v>14</v>
      </c>
      <c r="F874">
        <v>11</v>
      </c>
      <c r="G874">
        <v>31746</v>
      </c>
      <c r="H874">
        <v>4210.87</v>
      </c>
    </row>
    <row r="875" spans="1:8" x14ac:dyDescent="0.3">
      <c r="A875" s="1">
        <v>45934</v>
      </c>
      <c r="B875" t="s">
        <v>120</v>
      </c>
      <c r="C875" t="s">
        <v>18</v>
      </c>
      <c r="D875" t="s">
        <v>24</v>
      </c>
      <c r="E875" t="s">
        <v>11</v>
      </c>
      <c r="F875">
        <v>2</v>
      </c>
      <c r="G875">
        <v>2808</v>
      </c>
      <c r="H875">
        <v>371.6</v>
      </c>
    </row>
    <row r="876" spans="1:8" x14ac:dyDescent="0.3">
      <c r="A876" s="1">
        <v>45737</v>
      </c>
      <c r="B876" t="s">
        <v>265</v>
      </c>
      <c r="C876" t="s">
        <v>18</v>
      </c>
      <c r="D876" t="s">
        <v>22</v>
      </c>
      <c r="E876" t="s">
        <v>11</v>
      </c>
      <c r="F876">
        <v>1</v>
      </c>
      <c r="G876">
        <v>300</v>
      </c>
      <c r="H876">
        <v>50.69</v>
      </c>
    </row>
    <row r="877" spans="1:8" x14ac:dyDescent="0.3">
      <c r="A877" s="1">
        <v>45804</v>
      </c>
      <c r="B877" t="s">
        <v>68</v>
      </c>
      <c r="C877" t="s">
        <v>16</v>
      </c>
      <c r="D877" t="s">
        <v>43</v>
      </c>
      <c r="E877" t="s">
        <v>44</v>
      </c>
      <c r="F877">
        <v>9</v>
      </c>
      <c r="G877">
        <v>37224</v>
      </c>
      <c r="H877">
        <v>7330.18</v>
      </c>
    </row>
    <row r="878" spans="1:8" x14ac:dyDescent="0.3">
      <c r="A878" s="1">
        <v>45902</v>
      </c>
      <c r="B878" t="s">
        <v>307</v>
      </c>
      <c r="C878" t="s">
        <v>18</v>
      </c>
      <c r="D878" t="s">
        <v>22</v>
      </c>
      <c r="E878" t="s">
        <v>11</v>
      </c>
      <c r="F878">
        <v>1</v>
      </c>
      <c r="G878">
        <v>1181</v>
      </c>
      <c r="H878">
        <v>254.69</v>
      </c>
    </row>
    <row r="879" spans="1:8" x14ac:dyDescent="0.3">
      <c r="A879" s="1">
        <v>45661</v>
      </c>
      <c r="B879" t="s">
        <v>156</v>
      </c>
      <c r="C879" t="s">
        <v>9</v>
      </c>
      <c r="D879" t="s">
        <v>62</v>
      </c>
      <c r="E879" t="s">
        <v>27</v>
      </c>
      <c r="F879">
        <v>6</v>
      </c>
      <c r="G879">
        <v>588</v>
      </c>
      <c r="H879">
        <v>88.2</v>
      </c>
    </row>
    <row r="880" spans="1:8" x14ac:dyDescent="0.3">
      <c r="A880" s="1">
        <v>45860</v>
      </c>
      <c r="B880" t="s">
        <v>152</v>
      </c>
      <c r="C880" t="s">
        <v>9</v>
      </c>
      <c r="D880" t="s">
        <v>24</v>
      </c>
      <c r="E880" t="s">
        <v>11</v>
      </c>
      <c r="F880">
        <v>3</v>
      </c>
      <c r="G880">
        <v>5892</v>
      </c>
      <c r="H880">
        <v>1209.69</v>
      </c>
    </row>
    <row r="881" spans="1:8" x14ac:dyDescent="0.3">
      <c r="A881" s="1">
        <v>45851</v>
      </c>
      <c r="B881" t="s">
        <v>256</v>
      </c>
      <c r="C881" t="s">
        <v>18</v>
      </c>
      <c r="D881" t="s">
        <v>24</v>
      </c>
      <c r="E881" t="s">
        <v>11</v>
      </c>
      <c r="F881">
        <v>5</v>
      </c>
      <c r="G881">
        <v>3310</v>
      </c>
      <c r="H881">
        <v>502.39</v>
      </c>
    </row>
    <row r="882" spans="1:8" x14ac:dyDescent="0.3">
      <c r="A882" s="1">
        <v>45971</v>
      </c>
      <c r="B882" t="s">
        <v>285</v>
      </c>
      <c r="C882" t="s">
        <v>16</v>
      </c>
      <c r="D882" t="s">
        <v>52</v>
      </c>
      <c r="E882" t="s">
        <v>31</v>
      </c>
      <c r="F882">
        <v>12</v>
      </c>
      <c r="G882">
        <v>41124</v>
      </c>
      <c r="H882">
        <v>5280.12</v>
      </c>
    </row>
    <row r="883" spans="1:8" x14ac:dyDescent="0.3">
      <c r="A883" s="1">
        <v>45795</v>
      </c>
      <c r="B883" t="s">
        <v>280</v>
      </c>
      <c r="C883" t="s">
        <v>29</v>
      </c>
      <c r="D883" t="s">
        <v>47</v>
      </c>
      <c r="E883" t="s">
        <v>44</v>
      </c>
      <c r="F883">
        <v>4</v>
      </c>
      <c r="G883">
        <v>24484</v>
      </c>
      <c r="H883">
        <v>2717.95</v>
      </c>
    </row>
    <row r="884" spans="1:8" x14ac:dyDescent="0.3">
      <c r="A884" s="1">
        <v>45984</v>
      </c>
      <c r="B884" t="s">
        <v>49</v>
      </c>
      <c r="C884" t="s">
        <v>29</v>
      </c>
      <c r="D884" t="s">
        <v>43</v>
      </c>
      <c r="E884" t="s">
        <v>44</v>
      </c>
      <c r="F884">
        <v>10</v>
      </c>
      <c r="G884">
        <v>114180</v>
      </c>
      <c r="H884">
        <v>14416.69</v>
      </c>
    </row>
    <row r="885" spans="1:8" x14ac:dyDescent="0.3">
      <c r="A885" s="1">
        <v>45754</v>
      </c>
      <c r="B885" t="s">
        <v>77</v>
      </c>
      <c r="C885" t="s">
        <v>16</v>
      </c>
      <c r="D885" t="s">
        <v>40</v>
      </c>
      <c r="E885" t="s">
        <v>11</v>
      </c>
      <c r="F885">
        <v>1</v>
      </c>
      <c r="G885">
        <v>12985</v>
      </c>
      <c r="H885">
        <v>1148.3599999999999</v>
      </c>
    </row>
    <row r="886" spans="1:8" x14ac:dyDescent="0.3">
      <c r="A886" s="1">
        <v>45753</v>
      </c>
      <c r="B886" t="s">
        <v>262</v>
      </c>
      <c r="C886" t="s">
        <v>35</v>
      </c>
      <c r="D886" t="s">
        <v>10</v>
      </c>
      <c r="E886" t="s">
        <v>11</v>
      </c>
      <c r="F886">
        <v>5</v>
      </c>
      <c r="G886">
        <v>104100</v>
      </c>
      <c r="H886">
        <v>10540.82</v>
      </c>
    </row>
    <row r="887" spans="1:8" x14ac:dyDescent="0.3">
      <c r="A887" s="1">
        <v>45662</v>
      </c>
      <c r="B887" t="s">
        <v>203</v>
      </c>
      <c r="C887" t="s">
        <v>9</v>
      </c>
      <c r="D887" t="s">
        <v>24</v>
      </c>
      <c r="E887" t="s">
        <v>11</v>
      </c>
      <c r="F887">
        <v>2</v>
      </c>
      <c r="G887">
        <v>1616</v>
      </c>
      <c r="H887">
        <v>133.33000000000001</v>
      </c>
    </row>
    <row r="888" spans="1:8" x14ac:dyDescent="0.3">
      <c r="A888" s="1">
        <v>45873</v>
      </c>
      <c r="B888" t="s">
        <v>214</v>
      </c>
      <c r="C888" t="s">
        <v>35</v>
      </c>
      <c r="D888" t="s">
        <v>22</v>
      </c>
      <c r="E888" t="s">
        <v>11</v>
      </c>
      <c r="F888">
        <v>8</v>
      </c>
      <c r="G888">
        <v>8480</v>
      </c>
      <c r="H888">
        <v>1346.85</v>
      </c>
    </row>
    <row r="889" spans="1:8" x14ac:dyDescent="0.3">
      <c r="A889" s="1">
        <v>45699</v>
      </c>
      <c r="B889" t="s">
        <v>318</v>
      </c>
      <c r="C889" t="s">
        <v>16</v>
      </c>
      <c r="D889" t="s">
        <v>56</v>
      </c>
      <c r="E889" t="s">
        <v>31</v>
      </c>
      <c r="F889">
        <v>3</v>
      </c>
      <c r="G889">
        <v>1842</v>
      </c>
      <c r="H889">
        <v>230.81</v>
      </c>
    </row>
    <row r="890" spans="1:8" x14ac:dyDescent="0.3">
      <c r="A890" s="1">
        <v>45936</v>
      </c>
      <c r="B890" t="s">
        <v>175</v>
      </c>
      <c r="C890" t="s">
        <v>35</v>
      </c>
      <c r="D890" t="s">
        <v>43</v>
      </c>
      <c r="E890" t="s">
        <v>44</v>
      </c>
      <c r="F890">
        <v>3</v>
      </c>
      <c r="G890">
        <v>21444</v>
      </c>
      <c r="H890">
        <v>4980.7700000000004</v>
      </c>
    </row>
    <row r="891" spans="1:8" x14ac:dyDescent="0.3">
      <c r="A891" s="1">
        <v>45853</v>
      </c>
      <c r="B891" t="s">
        <v>114</v>
      </c>
      <c r="C891" t="s">
        <v>16</v>
      </c>
      <c r="D891" t="s">
        <v>56</v>
      </c>
      <c r="E891" t="s">
        <v>31</v>
      </c>
      <c r="F891">
        <v>1</v>
      </c>
      <c r="G891">
        <v>749</v>
      </c>
      <c r="H891">
        <v>184.02</v>
      </c>
    </row>
    <row r="892" spans="1:8" x14ac:dyDescent="0.3">
      <c r="A892" s="1">
        <v>45884</v>
      </c>
      <c r="B892" t="s">
        <v>282</v>
      </c>
      <c r="C892" t="s">
        <v>29</v>
      </c>
      <c r="D892" t="s">
        <v>24</v>
      </c>
      <c r="E892" t="s">
        <v>11</v>
      </c>
      <c r="F892">
        <v>12</v>
      </c>
      <c r="G892">
        <v>6816</v>
      </c>
      <c r="H892">
        <v>776.07</v>
      </c>
    </row>
    <row r="893" spans="1:8" x14ac:dyDescent="0.3">
      <c r="A893" s="1">
        <v>45998</v>
      </c>
      <c r="B893" t="s">
        <v>268</v>
      </c>
      <c r="C893" t="s">
        <v>29</v>
      </c>
      <c r="D893" t="s">
        <v>24</v>
      </c>
      <c r="E893" t="s">
        <v>11</v>
      </c>
      <c r="F893">
        <v>8</v>
      </c>
      <c r="G893">
        <v>10368</v>
      </c>
      <c r="H893">
        <v>2030.52</v>
      </c>
    </row>
    <row r="894" spans="1:8" x14ac:dyDescent="0.3">
      <c r="A894" s="1">
        <v>45823</v>
      </c>
      <c r="B894" t="s">
        <v>242</v>
      </c>
      <c r="C894" t="s">
        <v>35</v>
      </c>
      <c r="D894" t="s">
        <v>36</v>
      </c>
      <c r="E894" t="s">
        <v>11</v>
      </c>
      <c r="F894">
        <v>11</v>
      </c>
      <c r="G894">
        <v>12595</v>
      </c>
      <c r="H894">
        <v>2602.17</v>
      </c>
    </row>
    <row r="895" spans="1:8" x14ac:dyDescent="0.3">
      <c r="A895" s="1">
        <v>45720</v>
      </c>
      <c r="B895" t="s">
        <v>58</v>
      </c>
      <c r="C895" t="s">
        <v>35</v>
      </c>
      <c r="D895" t="s">
        <v>22</v>
      </c>
      <c r="E895" t="s">
        <v>11</v>
      </c>
      <c r="F895">
        <v>8</v>
      </c>
      <c r="G895">
        <v>12856</v>
      </c>
      <c r="H895">
        <v>1681.54</v>
      </c>
    </row>
    <row r="896" spans="1:8" x14ac:dyDescent="0.3">
      <c r="A896" s="1">
        <v>45684</v>
      </c>
      <c r="B896" t="s">
        <v>290</v>
      </c>
      <c r="C896" t="s">
        <v>9</v>
      </c>
      <c r="D896" t="s">
        <v>56</v>
      </c>
      <c r="E896" t="s">
        <v>31</v>
      </c>
      <c r="F896">
        <v>11</v>
      </c>
      <c r="G896">
        <v>10406</v>
      </c>
      <c r="H896">
        <v>2554.2199999999998</v>
      </c>
    </row>
    <row r="897" spans="1:8" x14ac:dyDescent="0.3">
      <c r="A897" s="1">
        <v>45880</v>
      </c>
      <c r="B897" t="s">
        <v>267</v>
      </c>
      <c r="C897" t="s">
        <v>29</v>
      </c>
      <c r="D897" t="s">
        <v>40</v>
      </c>
      <c r="E897" t="s">
        <v>11</v>
      </c>
      <c r="F897">
        <v>1</v>
      </c>
      <c r="G897">
        <v>13484</v>
      </c>
      <c r="H897">
        <v>2899.69</v>
      </c>
    </row>
    <row r="898" spans="1:8" x14ac:dyDescent="0.3">
      <c r="A898" s="1">
        <v>45860</v>
      </c>
      <c r="B898" t="s">
        <v>126</v>
      </c>
      <c r="C898" t="s">
        <v>9</v>
      </c>
      <c r="D898" t="s">
        <v>52</v>
      </c>
      <c r="E898" t="s">
        <v>31</v>
      </c>
      <c r="F898">
        <v>4</v>
      </c>
      <c r="G898">
        <v>5092</v>
      </c>
      <c r="H898">
        <v>1246.02</v>
      </c>
    </row>
    <row r="899" spans="1:8" x14ac:dyDescent="0.3">
      <c r="A899" s="1">
        <v>46011</v>
      </c>
      <c r="B899" t="s">
        <v>291</v>
      </c>
      <c r="C899" t="s">
        <v>35</v>
      </c>
      <c r="D899" t="s">
        <v>43</v>
      </c>
      <c r="E899" t="s">
        <v>44</v>
      </c>
      <c r="F899">
        <v>12</v>
      </c>
      <c r="G899">
        <v>165216</v>
      </c>
      <c r="H899">
        <v>17570.5</v>
      </c>
    </row>
    <row r="900" spans="1:8" x14ac:dyDescent="0.3">
      <c r="A900" s="1">
        <v>45738</v>
      </c>
      <c r="B900" t="s">
        <v>178</v>
      </c>
      <c r="C900" t="s">
        <v>16</v>
      </c>
      <c r="D900" t="s">
        <v>43</v>
      </c>
      <c r="E900" t="s">
        <v>44</v>
      </c>
      <c r="F900">
        <v>2</v>
      </c>
      <c r="G900">
        <v>28270</v>
      </c>
      <c r="H900">
        <v>3888.02</v>
      </c>
    </row>
    <row r="901" spans="1:8" x14ac:dyDescent="0.3">
      <c r="A901" s="1">
        <v>45840</v>
      </c>
      <c r="B901" t="s">
        <v>157</v>
      </c>
      <c r="C901" t="s">
        <v>29</v>
      </c>
      <c r="D901" t="s">
        <v>13</v>
      </c>
      <c r="E901" t="s">
        <v>14</v>
      </c>
      <c r="F901">
        <v>3</v>
      </c>
      <c r="G901">
        <v>8688</v>
      </c>
      <c r="H901">
        <v>1864</v>
      </c>
    </row>
    <row r="902" spans="1:8" x14ac:dyDescent="0.3">
      <c r="A902" s="1">
        <v>45777</v>
      </c>
      <c r="B902" t="s">
        <v>262</v>
      </c>
      <c r="C902" t="s">
        <v>16</v>
      </c>
      <c r="D902" t="s">
        <v>40</v>
      </c>
      <c r="E902" t="s">
        <v>11</v>
      </c>
      <c r="F902">
        <v>9</v>
      </c>
      <c r="G902">
        <v>174420</v>
      </c>
      <c r="H902">
        <v>37838.559999999998</v>
      </c>
    </row>
    <row r="903" spans="1:8" x14ac:dyDescent="0.3">
      <c r="A903" s="1">
        <v>45756</v>
      </c>
      <c r="B903" t="s">
        <v>88</v>
      </c>
      <c r="C903" t="s">
        <v>9</v>
      </c>
      <c r="D903" t="s">
        <v>54</v>
      </c>
      <c r="E903" t="s">
        <v>11</v>
      </c>
      <c r="F903">
        <v>12</v>
      </c>
      <c r="G903">
        <v>688536</v>
      </c>
      <c r="H903">
        <v>97006.79</v>
      </c>
    </row>
    <row r="904" spans="1:8" x14ac:dyDescent="0.3">
      <c r="A904" s="1">
        <v>45678</v>
      </c>
      <c r="B904" t="s">
        <v>37</v>
      </c>
      <c r="C904" t="s">
        <v>9</v>
      </c>
      <c r="D904" t="s">
        <v>43</v>
      </c>
      <c r="E904" t="s">
        <v>44</v>
      </c>
      <c r="F904">
        <v>12</v>
      </c>
      <c r="G904">
        <v>134016</v>
      </c>
      <c r="H904">
        <v>23457.39</v>
      </c>
    </row>
    <row r="905" spans="1:8" x14ac:dyDescent="0.3">
      <c r="A905" s="1">
        <v>45908</v>
      </c>
      <c r="B905" t="s">
        <v>288</v>
      </c>
      <c r="C905" t="s">
        <v>18</v>
      </c>
      <c r="D905" t="s">
        <v>24</v>
      </c>
      <c r="E905" t="s">
        <v>11</v>
      </c>
      <c r="F905">
        <v>10</v>
      </c>
      <c r="G905">
        <v>8820</v>
      </c>
      <c r="H905">
        <v>1520.7</v>
      </c>
    </row>
    <row r="906" spans="1:8" x14ac:dyDescent="0.3">
      <c r="A906" s="1">
        <v>45897</v>
      </c>
      <c r="B906" t="s">
        <v>78</v>
      </c>
      <c r="C906" t="s">
        <v>29</v>
      </c>
      <c r="D906" t="s">
        <v>22</v>
      </c>
      <c r="E906" t="s">
        <v>11</v>
      </c>
      <c r="F906">
        <v>10</v>
      </c>
      <c r="G906">
        <v>14350</v>
      </c>
      <c r="H906">
        <v>1539.16</v>
      </c>
    </row>
    <row r="907" spans="1:8" x14ac:dyDescent="0.3">
      <c r="A907" s="1">
        <v>45888</v>
      </c>
      <c r="B907" t="s">
        <v>315</v>
      </c>
      <c r="C907" t="s">
        <v>29</v>
      </c>
      <c r="D907" t="s">
        <v>22</v>
      </c>
      <c r="E907" t="s">
        <v>11</v>
      </c>
      <c r="F907">
        <v>5</v>
      </c>
      <c r="G907">
        <v>7045</v>
      </c>
      <c r="H907">
        <v>1003.27</v>
      </c>
    </row>
    <row r="908" spans="1:8" x14ac:dyDescent="0.3">
      <c r="A908" s="1">
        <v>45984</v>
      </c>
      <c r="B908" t="s">
        <v>313</v>
      </c>
      <c r="C908" t="s">
        <v>9</v>
      </c>
      <c r="D908" t="s">
        <v>62</v>
      </c>
      <c r="E908" t="s">
        <v>27</v>
      </c>
      <c r="F908">
        <v>7</v>
      </c>
      <c r="G908">
        <v>1659</v>
      </c>
      <c r="H908">
        <v>185.05</v>
      </c>
    </row>
    <row r="909" spans="1:8" x14ac:dyDescent="0.3">
      <c r="A909" s="1">
        <v>45844</v>
      </c>
      <c r="B909" t="s">
        <v>79</v>
      </c>
      <c r="C909" t="s">
        <v>16</v>
      </c>
      <c r="D909" t="s">
        <v>52</v>
      </c>
      <c r="E909" t="s">
        <v>31</v>
      </c>
      <c r="F909">
        <v>10</v>
      </c>
      <c r="G909">
        <v>31560</v>
      </c>
      <c r="H909">
        <v>4245.3900000000003</v>
      </c>
    </row>
    <row r="910" spans="1:8" x14ac:dyDescent="0.3">
      <c r="A910" s="1">
        <v>45933</v>
      </c>
      <c r="B910" t="s">
        <v>68</v>
      </c>
      <c r="C910" t="s">
        <v>29</v>
      </c>
      <c r="D910" t="s">
        <v>56</v>
      </c>
      <c r="E910" t="s">
        <v>31</v>
      </c>
      <c r="F910">
        <v>7</v>
      </c>
      <c r="G910">
        <v>6216</v>
      </c>
      <c r="H910">
        <v>1051.08</v>
      </c>
    </row>
    <row r="911" spans="1:8" x14ac:dyDescent="0.3">
      <c r="A911" s="1">
        <v>45940</v>
      </c>
      <c r="B911" t="s">
        <v>105</v>
      </c>
      <c r="C911" t="s">
        <v>9</v>
      </c>
      <c r="D911" t="s">
        <v>36</v>
      </c>
      <c r="E911" t="s">
        <v>11</v>
      </c>
      <c r="F911">
        <v>10</v>
      </c>
      <c r="G911">
        <v>31190</v>
      </c>
      <c r="H911">
        <v>4205.72</v>
      </c>
    </row>
    <row r="912" spans="1:8" x14ac:dyDescent="0.3">
      <c r="A912" s="1">
        <v>45707</v>
      </c>
      <c r="B912" t="s">
        <v>182</v>
      </c>
      <c r="C912" t="s">
        <v>18</v>
      </c>
      <c r="D912" t="s">
        <v>62</v>
      </c>
      <c r="E912" t="s">
        <v>27</v>
      </c>
      <c r="F912">
        <v>11</v>
      </c>
      <c r="G912">
        <v>737</v>
      </c>
      <c r="H912">
        <v>64.44</v>
      </c>
    </row>
    <row r="913" spans="1:8" x14ac:dyDescent="0.3">
      <c r="A913" s="1">
        <v>45674</v>
      </c>
      <c r="B913" t="s">
        <v>220</v>
      </c>
      <c r="C913" t="s">
        <v>35</v>
      </c>
      <c r="D913" t="s">
        <v>24</v>
      </c>
      <c r="E913" t="s">
        <v>11</v>
      </c>
      <c r="F913">
        <v>2</v>
      </c>
      <c r="G913">
        <v>2988</v>
      </c>
      <c r="H913">
        <v>336.37</v>
      </c>
    </row>
    <row r="914" spans="1:8" x14ac:dyDescent="0.3">
      <c r="A914" s="1">
        <v>45986</v>
      </c>
      <c r="B914" t="s">
        <v>236</v>
      </c>
      <c r="C914" t="s">
        <v>29</v>
      </c>
      <c r="D914" t="s">
        <v>56</v>
      </c>
      <c r="E914" t="s">
        <v>31</v>
      </c>
      <c r="F914">
        <v>7</v>
      </c>
      <c r="G914">
        <v>10521</v>
      </c>
      <c r="H914">
        <v>1782.15</v>
      </c>
    </row>
    <row r="915" spans="1:8" x14ac:dyDescent="0.3">
      <c r="A915" s="1">
        <v>45683</v>
      </c>
      <c r="B915" t="s">
        <v>91</v>
      </c>
      <c r="C915" t="s">
        <v>35</v>
      </c>
      <c r="D915" t="s">
        <v>40</v>
      </c>
      <c r="E915" t="s">
        <v>11</v>
      </c>
      <c r="F915">
        <v>4</v>
      </c>
      <c r="G915">
        <v>41288</v>
      </c>
      <c r="H915">
        <v>3394.89</v>
      </c>
    </row>
    <row r="916" spans="1:8" x14ac:dyDescent="0.3">
      <c r="A916" s="1">
        <v>45909</v>
      </c>
      <c r="B916" t="s">
        <v>214</v>
      </c>
      <c r="C916" t="s">
        <v>16</v>
      </c>
      <c r="D916" t="s">
        <v>30</v>
      </c>
      <c r="E916" t="s">
        <v>31</v>
      </c>
      <c r="F916">
        <v>2</v>
      </c>
      <c r="G916">
        <v>6234</v>
      </c>
      <c r="H916">
        <v>1347.62</v>
      </c>
    </row>
    <row r="917" spans="1:8" x14ac:dyDescent="0.3">
      <c r="A917" s="1">
        <v>45943</v>
      </c>
      <c r="B917" t="s">
        <v>66</v>
      </c>
      <c r="C917" t="s">
        <v>18</v>
      </c>
      <c r="D917" t="s">
        <v>19</v>
      </c>
      <c r="E917" t="s">
        <v>20</v>
      </c>
      <c r="F917">
        <v>7</v>
      </c>
      <c r="G917">
        <v>7987</v>
      </c>
      <c r="H917">
        <v>1140.08</v>
      </c>
    </row>
    <row r="918" spans="1:8" x14ac:dyDescent="0.3">
      <c r="A918" s="1">
        <v>45973</v>
      </c>
      <c r="B918" t="s">
        <v>280</v>
      </c>
      <c r="C918" t="s">
        <v>29</v>
      </c>
      <c r="D918" t="s">
        <v>22</v>
      </c>
      <c r="E918" t="s">
        <v>11</v>
      </c>
      <c r="F918">
        <v>9</v>
      </c>
      <c r="G918">
        <v>3447</v>
      </c>
      <c r="H918">
        <v>706.05</v>
      </c>
    </row>
    <row r="919" spans="1:8" x14ac:dyDescent="0.3">
      <c r="A919" s="1">
        <v>45768</v>
      </c>
      <c r="B919" t="s">
        <v>156</v>
      </c>
      <c r="C919" t="s">
        <v>35</v>
      </c>
      <c r="D919" t="s">
        <v>62</v>
      </c>
      <c r="E919" t="s">
        <v>27</v>
      </c>
      <c r="F919">
        <v>2</v>
      </c>
      <c r="G919">
        <v>150</v>
      </c>
      <c r="H919">
        <v>30.49</v>
      </c>
    </row>
    <row r="920" spans="1:8" x14ac:dyDescent="0.3">
      <c r="A920" s="1">
        <v>45755</v>
      </c>
      <c r="B920" t="s">
        <v>53</v>
      </c>
      <c r="C920" t="s">
        <v>35</v>
      </c>
      <c r="D920" t="s">
        <v>24</v>
      </c>
      <c r="E920" t="s">
        <v>11</v>
      </c>
      <c r="F920">
        <v>9</v>
      </c>
      <c r="G920">
        <v>16605</v>
      </c>
      <c r="H920">
        <v>2030.62</v>
      </c>
    </row>
    <row r="921" spans="1:8" x14ac:dyDescent="0.3">
      <c r="A921" s="1">
        <v>45943</v>
      </c>
      <c r="B921" t="s">
        <v>135</v>
      </c>
      <c r="C921" t="s">
        <v>9</v>
      </c>
      <c r="D921" t="s">
        <v>47</v>
      </c>
      <c r="E921" t="s">
        <v>44</v>
      </c>
      <c r="F921">
        <v>12</v>
      </c>
      <c r="G921">
        <v>80736</v>
      </c>
      <c r="H921">
        <v>16976.21</v>
      </c>
    </row>
    <row r="922" spans="1:8" x14ac:dyDescent="0.3">
      <c r="A922" s="1">
        <v>46003</v>
      </c>
      <c r="B922" t="s">
        <v>281</v>
      </c>
      <c r="C922" t="s">
        <v>35</v>
      </c>
      <c r="D922" t="s">
        <v>43</v>
      </c>
      <c r="E922" t="s">
        <v>44</v>
      </c>
      <c r="F922">
        <v>12</v>
      </c>
      <c r="G922">
        <v>178788</v>
      </c>
      <c r="H922">
        <v>27283.54</v>
      </c>
    </row>
    <row r="923" spans="1:8" x14ac:dyDescent="0.3">
      <c r="A923" s="1">
        <v>45750</v>
      </c>
      <c r="B923" t="s">
        <v>53</v>
      </c>
      <c r="C923" t="s">
        <v>16</v>
      </c>
      <c r="D923" t="s">
        <v>62</v>
      </c>
      <c r="E923" t="s">
        <v>27</v>
      </c>
      <c r="F923">
        <v>7</v>
      </c>
      <c r="G923">
        <v>1253</v>
      </c>
      <c r="H923">
        <v>172.13</v>
      </c>
    </row>
    <row r="924" spans="1:8" x14ac:dyDescent="0.3">
      <c r="A924" s="1">
        <v>45965</v>
      </c>
      <c r="B924" t="s">
        <v>161</v>
      </c>
      <c r="C924" t="s">
        <v>35</v>
      </c>
      <c r="D924" t="s">
        <v>43</v>
      </c>
      <c r="E924" t="s">
        <v>44</v>
      </c>
      <c r="F924">
        <v>6</v>
      </c>
      <c r="G924">
        <v>54978</v>
      </c>
      <c r="H924">
        <v>9539.44</v>
      </c>
    </row>
    <row r="925" spans="1:8" x14ac:dyDescent="0.3">
      <c r="A925" s="1">
        <v>45848</v>
      </c>
      <c r="B925" t="s">
        <v>261</v>
      </c>
      <c r="C925" t="s">
        <v>16</v>
      </c>
      <c r="D925" t="s">
        <v>47</v>
      </c>
      <c r="E925" t="s">
        <v>44</v>
      </c>
      <c r="F925">
        <v>11</v>
      </c>
      <c r="G925">
        <v>132594</v>
      </c>
      <c r="H925">
        <v>29229.86</v>
      </c>
    </row>
    <row r="926" spans="1:8" x14ac:dyDescent="0.3">
      <c r="A926" s="1">
        <v>45781</v>
      </c>
      <c r="B926" t="s">
        <v>248</v>
      </c>
      <c r="C926" t="s">
        <v>16</v>
      </c>
      <c r="D926" t="s">
        <v>26</v>
      </c>
      <c r="E926" t="s">
        <v>27</v>
      </c>
      <c r="F926">
        <v>9</v>
      </c>
      <c r="G926">
        <v>1206</v>
      </c>
      <c r="H926">
        <v>173.38</v>
      </c>
    </row>
    <row r="927" spans="1:8" x14ac:dyDescent="0.3">
      <c r="A927" s="1">
        <v>45788</v>
      </c>
      <c r="B927" t="s">
        <v>319</v>
      </c>
      <c r="C927" t="s">
        <v>9</v>
      </c>
      <c r="D927" t="s">
        <v>40</v>
      </c>
      <c r="E927" t="s">
        <v>11</v>
      </c>
      <c r="F927">
        <v>8</v>
      </c>
      <c r="G927">
        <v>181304</v>
      </c>
      <c r="H927">
        <v>44087.72</v>
      </c>
    </row>
    <row r="928" spans="1:8" x14ac:dyDescent="0.3">
      <c r="A928" s="1">
        <v>45675</v>
      </c>
      <c r="B928" t="s">
        <v>142</v>
      </c>
      <c r="C928" t="s">
        <v>18</v>
      </c>
      <c r="D928" t="s">
        <v>22</v>
      </c>
      <c r="E928" t="s">
        <v>11</v>
      </c>
      <c r="F928">
        <v>10</v>
      </c>
      <c r="G928">
        <v>3330</v>
      </c>
      <c r="H928">
        <v>559.41999999999996</v>
      </c>
    </row>
    <row r="929" spans="1:8" x14ac:dyDescent="0.3">
      <c r="A929" s="1">
        <v>45811</v>
      </c>
      <c r="B929" t="s">
        <v>317</v>
      </c>
      <c r="C929" t="s">
        <v>16</v>
      </c>
      <c r="D929" t="s">
        <v>24</v>
      </c>
      <c r="E929" t="s">
        <v>11</v>
      </c>
      <c r="F929">
        <v>4</v>
      </c>
      <c r="G929">
        <v>9008</v>
      </c>
      <c r="H929">
        <v>1202.8699999999999</v>
      </c>
    </row>
    <row r="930" spans="1:8" x14ac:dyDescent="0.3">
      <c r="A930" s="1">
        <v>45941</v>
      </c>
      <c r="B930" t="s">
        <v>304</v>
      </c>
      <c r="C930" t="s">
        <v>35</v>
      </c>
      <c r="D930" t="s">
        <v>62</v>
      </c>
      <c r="E930" t="s">
        <v>27</v>
      </c>
      <c r="F930">
        <v>9</v>
      </c>
      <c r="G930">
        <v>1764</v>
      </c>
      <c r="H930">
        <v>418.79</v>
      </c>
    </row>
    <row r="931" spans="1:8" x14ac:dyDescent="0.3">
      <c r="A931" s="1">
        <v>45677</v>
      </c>
      <c r="B931" t="s">
        <v>58</v>
      </c>
      <c r="C931" t="s">
        <v>35</v>
      </c>
      <c r="D931" t="s">
        <v>43</v>
      </c>
      <c r="E931" t="s">
        <v>44</v>
      </c>
      <c r="F931">
        <v>6</v>
      </c>
      <c r="G931">
        <v>39342</v>
      </c>
      <c r="H931">
        <v>4073.05</v>
      </c>
    </row>
    <row r="932" spans="1:8" x14ac:dyDescent="0.3">
      <c r="A932" s="1">
        <v>45956</v>
      </c>
      <c r="B932" t="s">
        <v>148</v>
      </c>
      <c r="C932" t="s">
        <v>16</v>
      </c>
      <c r="D932" t="s">
        <v>24</v>
      </c>
      <c r="E932" t="s">
        <v>11</v>
      </c>
      <c r="F932">
        <v>4</v>
      </c>
      <c r="G932">
        <v>4096</v>
      </c>
      <c r="H932">
        <v>892.45</v>
      </c>
    </row>
    <row r="933" spans="1:8" x14ac:dyDescent="0.3">
      <c r="A933" s="1">
        <v>45862</v>
      </c>
      <c r="B933" t="s">
        <v>176</v>
      </c>
      <c r="C933" t="s">
        <v>35</v>
      </c>
      <c r="D933" t="s">
        <v>26</v>
      </c>
      <c r="E933" t="s">
        <v>27</v>
      </c>
      <c r="F933">
        <v>4</v>
      </c>
      <c r="G933">
        <v>1068</v>
      </c>
      <c r="H933">
        <v>99.46</v>
      </c>
    </row>
    <row r="934" spans="1:8" x14ac:dyDescent="0.3">
      <c r="A934" s="1">
        <v>45905</v>
      </c>
      <c r="B934" t="s">
        <v>142</v>
      </c>
      <c r="C934" t="s">
        <v>29</v>
      </c>
      <c r="D934" t="s">
        <v>36</v>
      </c>
      <c r="E934" t="s">
        <v>11</v>
      </c>
      <c r="F934">
        <v>8</v>
      </c>
      <c r="G934">
        <v>12648</v>
      </c>
      <c r="H934">
        <v>2291.6799999999998</v>
      </c>
    </row>
    <row r="935" spans="1:8" x14ac:dyDescent="0.3">
      <c r="A935" s="1">
        <v>45953</v>
      </c>
      <c r="B935" t="s">
        <v>259</v>
      </c>
      <c r="C935" t="s">
        <v>9</v>
      </c>
      <c r="D935" t="s">
        <v>47</v>
      </c>
      <c r="E935" t="s">
        <v>44</v>
      </c>
      <c r="F935">
        <v>2</v>
      </c>
      <c r="G935">
        <v>35562</v>
      </c>
      <c r="H935">
        <v>3183.04</v>
      </c>
    </row>
    <row r="936" spans="1:8" x14ac:dyDescent="0.3">
      <c r="A936" s="1">
        <v>45880</v>
      </c>
      <c r="B936" t="s">
        <v>28</v>
      </c>
      <c r="C936" t="s">
        <v>35</v>
      </c>
      <c r="D936" t="s">
        <v>47</v>
      </c>
      <c r="E936" t="s">
        <v>44</v>
      </c>
      <c r="F936">
        <v>2</v>
      </c>
      <c r="G936">
        <v>35244</v>
      </c>
      <c r="H936">
        <v>4177.8900000000003</v>
      </c>
    </row>
    <row r="937" spans="1:8" x14ac:dyDescent="0.3">
      <c r="A937" s="1">
        <v>45663</v>
      </c>
      <c r="B937" t="s">
        <v>86</v>
      </c>
      <c r="C937" t="s">
        <v>9</v>
      </c>
      <c r="D937" t="s">
        <v>13</v>
      </c>
      <c r="E937" t="s">
        <v>14</v>
      </c>
      <c r="F937">
        <v>11</v>
      </c>
      <c r="G937">
        <v>24926</v>
      </c>
      <c r="H937">
        <v>2223.44</v>
      </c>
    </row>
    <row r="938" spans="1:8" x14ac:dyDescent="0.3">
      <c r="A938" s="1">
        <v>45821</v>
      </c>
      <c r="B938" t="s">
        <v>73</v>
      </c>
      <c r="C938" t="s">
        <v>16</v>
      </c>
      <c r="D938" t="s">
        <v>62</v>
      </c>
      <c r="E938" t="s">
        <v>27</v>
      </c>
      <c r="F938">
        <v>10</v>
      </c>
      <c r="G938">
        <v>880</v>
      </c>
      <c r="H938">
        <v>119.29</v>
      </c>
    </row>
    <row r="939" spans="1:8" x14ac:dyDescent="0.3">
      <c r="A939" s="1">
        <v>45683</v>
      </c>
      <c r="B939" t="s">
        <v>188</v>
      </c>
      <c r="C939" t="s">
        <v>16</v>
      </c>
      <c r="D939" t="s">
        <v>13</v>
      </c>
      <c r="E939" t="s">
        <v>14</v>
      </c>
      <c r="F939">
        <v>12</v>
      </c>
      <c r="G939">
        <v>27708</v>
      </c>
      <c r="H939">
        <v>6790.59</v>
      </c>
    </row>
    <row r="940" spans="1:8" x14ac:dyDescent="0.3">
      <c r="A940" s="1">
        <v>45916</v>
      </c>
      <c r="B940" t="s">
        <v>202</v>
      </c>
      <c r="C940" t="s">
        <v>16</v>
      </c>
      <c r="D940" t="s">
        <v>10</v>
      </c>
      <c r="E940" t="s">
        <v>11</v>
      </c>
      <c r="F940">
        <v>4</v>
      </c>
      <c r="G940">
        <v>104612</v>
      </c>
      <c r="H940">
        <v>13522.47</v>
      </c>
    </row>
    <row r="941" spans="1:8" x14ac:dyDescent="0.3">
      <c r="A941" s="1">
        <v>45725</v>
      </c>
      <c r="B941" t="s">
        <v>253</v>
      </c>
      <c r="C941" t="s">
        <v>9</v>
      </c>
      <c r="D941" t="s">
        <v>40</v>
      </c>
      <c r="E941" t="s">
        <v>11</v>
      </c>
      <c r="F941">
        <v>2</v>
      </c>
      <c r="G941">
        <v>47184</v>
      </c>
      <c r="H941">
        <v>8358.4</v>
      </c>
    </row>
    <row r="942" spans="1:8" x14ac:dyDescent="0.3">
      <c r="A942" s="1">
        <v>45862</v>
      </c>
      <c r="B942" t="s">
        <v>174</v>
      </c>
      <c r="C942" t="s">
        <v>35</v>
      </c>
      <c r="D942" t="s">
        <v>22</v>
      </c>
      <c r="E942" t="s">
        <v>11</v>
      </c>
      <c r="F942">
        <v>2</v>
      </c>
      <c r="G942">
        <v>2232</v>
      </c>
      <c r="H942">
        <v>368.97</v>
      </c>
    </row>
    <row r="943" spans="1:8" x14ac:dyDescent="0.3">
      <c r="A943" s="1">
        <v>45727</v>
      </c>
      <c r="B943" t="s">
        <v>180</v>
      </c>
      <c r="C943" t="s">
        <v>29</v>
      </c>
      <c r="D943" t="s">
        <v>43</v>
      </c>
      <c r="E943" t="s">
        <v>44</v>
      </c>
      <c r="F943">
        <v>9</v>
      </c>
      <c r="G943">
        <v>65205</v>
      </c>
      <c r="H943">
        <v>10624.27</v>
      </c>
    </row>
    <row r="944" spans="1:8" x14ac:dyDescent="0.3">
      <c r="A944" s="1">
        <v>45945</v>
      </c>
      <c r="B944" t="s">
        <v>130</v>
      </c>
      <c r="C944" t="s">
        <v>9</v>
      </c>
      <c r="D944" t="s">
        <v>26</v>
      </c>
      <c r="E944" t="s">
        <v>27</v>
      </c>
      <c r="F944">
        <v>12</v>
      </c>
      <c r="G944">
        <v>2568</v>
      </c>
      <c r="H944">
        <v>312.94</v>
      </c>
    </row>
    <row r="945" spans="1:8" x14ac:dyDescent="0.3">
      <c r="A945" s="1">
        <v>45878</v>
      </c>
      <c r="B945" t="s">
        <v>116</v>
      </c>
      <c r="C945" t="s">
        <v>29</v>
      </c>
      <c r="D945" t="s">
        <v>40</v>
      </c>
      <c r="E945" t="s">
        <v>11</v>
      </c>
      <c r="F945">
        <v>11</v>
      </c>
      <c r="G945">
        <v>120285</v>
      </c>
      <c r="H945">
        <v>11923.86</v>
      </c>
    </row>
    <row r="946" spans="1:8" x14ac:dyDescent="0.3">
      <c r="A946" s="1">
        <v>45845</v>
      </c>
      <c r="B946" t="s">
        <v>315</v>
      </c>
      <c r="C946" t="s">
        <v>35</v>
      </c>
      <c r="D946" t="s">
        <v>40</v>
      </c>
      <c r="E946" t="s">
        <v>11</v>
      </c>
      <c r="F946">
        <v>4</v>
      </c>
      <c r="G946">
        <v>74036</v>
      </c>
      <c r="H946">
        <v>10259.11</v>
      </c>
    </row>
    <row r="947" spans="1:8" x14ac:dyDescent="0.3">
      <c r="A947" s="1">
        <v>45814</v>
      </c>
      <c r="B947" t="s">
        <v>199</v>
      </c>
      <c r="C947" t="s">
        <v>35</v>
      </c>
      <c r="D947" t="s">
        <v>36</v>
      </c>
      <c r="E947" t="s">
        <v>11</v>
      </c>
      <c r="F947">
        <v>6</v>
      </c>
      <c r="G947">
        <v>26532</v>
      </c>
      <c r="H947">
        <v>4933.3900000000003</v>
      </c>
    </row>
    <row r="948" spans="1:8" x14ac:dyDescent="0.3">
      <c r="A948" s="1">
        <v>45777</v>
      </c>
      <c r="B948" t="s">
        <v>59</v>
      </c>
      <c r="C948" t="s">
        <v>9</v>
      </c>
      <c r="D948" t="s">
        <v>24</v>
      </c>
      <c r="E948" t="s">
        <v>11</v>
      </c>
      <c r="F948">
        <v>11</v>
      </c>
      <c r="G948">
        <v>13915</v>
      </c>
      <c r="H948">
        <v>1482.21</v>
      </c>
    </row>
    <row r="949" spans="1:8" x14ac:dyDescent="0.3">
      <c r="A949" s="1">
        <v>45685</v>
      </c>
      <c r="B949" t="s">
        <v>142</v>
      </c>
      <c r="C949" t="s">
        <v>18</v>
      </c>
      <c r="D949" t="s">
        <v>24</v>
      </c>
      <c r="E949" t="s">
        <v>11</v>
      </c>
      <c r="F949">
        <v>10</v>
      </c>
      <c r="G949">
        <v>23970</v>
      </c>
      <c r="H949">
        <v>2519.37</v>
      </c>
    </row>
    <row r="950" spans="1:8" x14ac:dyDescent="0.3">
      <c r="A950" s="1">
        <v>45833</v>
      </c>
      <c r="B950" t="s">
        <v>195</v>
      </c>
      <c r="C950" t="s">
        <v>29</v>
      </c>
      <c r="D950" t="s">
        <v>19</v>
      </c>
      <c r="E950" t="s">
        <v>20</v>
      </c>
      <c r="F950">
        <v>2</v>
      </c>
      <c r="G950">
        <v>1224</v>
      </c>
      <c r="H950">
        <v>191.57</v>
      </c>
    </row>
    <row r="951" spans="1:8" x14ac:dyDescent="0.3">
      <c r="A951" s="1">
        <v>45765</v>
      </c>
      <c r="B951" t="s">
        <v>299</v>
      </c>
      <c r="C951" t="s">
        <v>16</v>
      </c>
      <c r="D951" t="s">
        <v>19</v>
      </c>
      <c r="E951" t="s">
        <v>20</v>
      </c>
      <c r="F951">
        <v>9</v>
      </c>
      <c r="G951">
        <v>4644</v>
      </c>
      <c r="H951">
        <v>532.41999999999996</v>
      </c>
    </row>
    <row r="952" spans="1:8" x14ac:dyDescent="0.3">
      <c r="A952" s="1">
        <v>45790</v>
      </c>
      <c r="B952" t="s">
        <v>8</v>
      </c>
      <c r="C952" t="s">
        <v>29</v>
      </c>
      <c r="D952" t="s">
        <v>62</v>
      </c>
      <c r="E952" t="s">
        <v>27</v>
      </c>
      <c r="F952">
        <v>8</v>
      </c>
      <c r="G952">
        <v>1672</v>
      </c>
      <c r="H952">
        <v>341.23</v>
      </c>
    </row>
    <row r="953" spans="1:8" x14ac:dyDescent="0.3">
      <c r="A953" s="1">
        <v>46015</v>
      </c>
      <c r="B953" t="s">
        <v>86</v>
      </c>
      <c r="C953" t="s">
        <v>35</v>
      </c>
      <c r="D953" t="s">
        <v>13</v>
      </c>
      <c r="E953" t="s">
        <v>14</v>
      </c>
      <c r="F953">
        <v>1</v>
      </c>
      <c r="G953">
        <v>2242</v>
      </c>
      <c r="H953">
        <v>401.57</v>
      </c>
    </row>
    <row r="954" spans="1:8" x14ac:dyDescent="0.3">
      <c r="A954" s="1">
        <v>45788</v>
      </c>
      <c r="B954" t="s">
        <v>172</v>
      </c>
      <c r="C954" t="s">
        <v>35</v>
      </c>
      <c r="D954" t="s">
        <v>36</v>
      </c>
      <c r="E954" t="s">
        <v>11</v>
      </c>
      <c r="F954">
        <v>1</v>
      </c>
      <c r="G954">
        <v>3126</v>
      </c>
      <c r="H954">
        <v>356.73</v>
      </c>
    </row>
    <row r="955" spans="1:8" x14ac:dyDescent="0.3">
      <c r="A955" s="1">
        <v>45685</v>
      </c>
      <c r="B955" t="s">
        <v>229</v>
      </c>
      <c r="C955" t="s">
        <v>9</v>
      </c>
      <c r="D955" t="s">
        <v>43</v>
      </c>
      <c r="E955" t="s">
        <v>44</v>
      </c>
      <c r="F955">
        <v>11</v>
      </c>
      <c r="G955">
        <v>45496</v>
      </c>
      <c r="H955">
        <v>4154.7700000000004</v>
      </c>
    </row>
    <row r="956" spans="1:8" x14ac:dyDescent="0.3">
      <c r="A956" s="1">
        <v>45995</v>
      </c>
      <c r="B956" t="s">
        <v>320</v>
      </c>
      <c r="C956" t="s">
        <v>18</v>
      </c>
      <c r="D956" t="s">
        <v>40</v>
      </c>
      <c r="E956" t="s">
        <v>11</v>
      </c>
      <c r="F956">
        <v>2</v>
      </c>
      <c r="G956">
        <v>17250</v>
      </c>
      <c r="H956">
        <v>2237.7399999999998</v>
      </c>
    </row>
    <row r="957" spans="1:8" x14ac:dyDescent="0.3">
      <c r="A957" s="1">
        <v>45852</v>
      </c>
      <c r="B957" t="s">
        <v>163</v>
      </c>
      <c r="C957" t="s">
        <v>16</v>
      </c>
      <c r="D957" t="s">
        <v>62</v>
      </c>
      <c r="E957" t="s">
        <v>27</v>
      </c>
      <c r="F957">
        <v>12</v>
      </c>
      <c r="G957">
        <v>900</v>
      </c>
      <c r="H957">
        <v>210.29</v>
      </c>
    </row>
    <row r="958" spans="1:8" x14ac:dyDescent="0.3">
      <c r="A958" s="1">
        <v>45963</v>
      </c>
      <c r="B958" t="s">
        <v>25</v>
      </c>
      <c r="C958" t="s">
        <v>29</v>
      </c>
      <c r="D958" t="s">
        <v>62</v>
      </c>
      <c r="E958" t="s">
        <v>27</v>
      </c>
      <c r="F958">
        <v>2</v>
      </c>
      <c r="G958">
        <v>194</v>
      </c>
      <c r="H958">
        <v>22.08</v>
      </c>
    </row>
    <row r="959" spans="1:8" x14ac:dyDescent="0.3">
      <c r="A959" s="1">
        <v>46022</v>
      </c>
      <c r="B959" t="s">
        <v>275</v>
      </c>
      <c r="C959" t="s">
        <v>18</v>
      </c>
      <c r="D959" t="s">
        <v>54</v>
      </c>
      <c r="E959" t="s">
        <v>11</v>
      </c>
      <c r="F959">
        <v>1</v>
      </c>
      <c r="G959">
        <v>53106</v>
      </c>
      <c r="H959">
        <v>12574.75</v>
      </c>
    </row>
    <row r="960" spans="1:8" x14ac:dyDescent="0.3">
      <c r="A960" s="1">
        <v>45908</v>
      </c>
      <c r="B960" t="s">
        <v>160</v>
      </c>
      <c r="C960" t="s">
        <v>16</v>
      </c>
      <c r="D960" t="s">
        <v>47</v>
      </c>
      <c r="E960" t="s">
        <v>44</v>
      </c>
      <c r="F960">
        <v>12</v>
      </c>
      <c r="G960">
        <v>90864</v>
      </c>
      <c r="H960">
        <v>7552.91</v>
      </c>
    </row>
    <row r="961" spans="1:8" x14ac:dyDescent="0.3">
      <c r="A961" s="1">
        <v>45978</v>
      </c>
      <c r="B961" t="s">
        <v>205</v>
      </c>
      <c r="C961" t="s">
        <v>35</v>
      </c>
      <c r="D961" t="s">
        <v>22</v>
      </c>
      <c r="E961" t="s">
        <v>11</v>
      </c>
      <c r="F961">
        <v>4</v>
      </c>
      <c r="G961">
        <v>5304</v>
      </c>
      <c r="H961">
        <v>673.07</v>
      </c>
    </row>
    <row r="962" spans="1:8" x14ac:dyDescent="0.3">
      <c r="A962" s="1">
        <v>45789</v>
      </c>
      <c r="B962" t="s">
        <v>221</v>
      </c>
      <c r="C962" t="s">
        <v>35</v>
      </c>
      <c r="D962" t="s">
        <v>30</v>
      </c>
      <c r="E962" t="s">
        <v>31</v>
      </c>
      <c r="F962">
        <v>7</v>
      </c>
      <c r="G962">
        <v>9240</v>
      </c>
      <c r="H962">
        <v>2222.25</v>
      </c>
    </row>
    <row r="963" spans="1:8" x14ac:dyDescent="0.3">
      <c r="A963" s="1">
        <v>45735</v>
      </c>
      <c r="B963" t="s">
        <v>197</v>
      </c>
      <c r="C963" t="s">
        <v>9</v>
      </c>
      <c r="D963" t="s">
        <v>40</v>
      </c>
      <c r="E963" t="s">
        <v>11</v>
      </c>
      <c r="F963">
        <v>7</v>
      </c>
      <c r="G963">
        <v>87479</v>
      </c>
      <c r="H963">
        <v>8303.9599999999991</v>
      </c>
    </row>
    <row r="964" spans="1:8" x14ac:dyDescent="0.3">
      <c r="A964" s="1">
        <v>46005</v>
      </c>
      <c r="B964" t="s">
        <v>316</v>
      </c>
      <c r="C964" t="s">
        <v>9</v>
      </c>
      <c r="D964" t="s">
        <v>26</v>
      </c>
      <c r="E964" t="s">
        <v>27</v>
      </c>
      <c r="F964">
        <v>11</v>
      </c>
      <c r="G964">
        <v>2805</v>
      </c>
      <c r="H964">
        <v>332.85</v>
      </c>
    </row>
    <row r="965" spans="1:8" x14ac:dyDescent="0.3">
      <c r="A965" s="1">
        <v>45736</v>
      </c>
      <c r="B965" t="s">
        <v>139</v>
      </c>
      <c r="C965" t="s">
        <v>29</v>
      </c>
      <c r="D965" t="s">
        <v>47</v>
      </c>
      <c r="E965" t="s">
        <v>44</v>
      </c>
      <c r="F965">
        <v>5</v>
      </c>
      <c r="G965">
        <v>74590</v>
      </c>
      <c r="H965">
        <v>10142.629999999999</v>
      </c>
    </row>
    <row r="966" spans="1:8" x14ac:dyDescent="0.3">
      <c r="A966" s="1">
        <v>45763</v>
      </c>
      <c r="B966" t="s">
        <v>270</v>
      </c>
      <c r="C966" t="s">
        <v>18</v>
      </c>
      <c r="D966" t="s">
        <v>13</v>
      </c>
      <c r="E966" t="s">
        <v>14</v>
      </c>
      <c r="F966">
        <v>3</v>
      </c>
      <c r="G966">
        <v>9237</v>
      </c>
      <c r="H966">
        <v>1589.04</v>
      </c>
    </row>
    <row r="967" spans="1:8" x14ac:dyDescent="0.3">
      <c r="A967" s="1">
        <v>45728</v>
      </c>
      <c r="B967" t="s">
        <v>284</v>
      </c>
      <c r="C967" t="s">
        <v>18</v>
      </c>
      <c r="D967" t="s">
        <v>22</v>
      </c>
      <c r="E967" t="s">
        <v>11</v>
      </c>
      <c r="F967">
        <v>12</v>
      </c>
      <c r="G967">
        <v>20928</v>
      </c>
      <c r="H967">
        <v>4871.3999999999996</v>
      </c>
    </row>
    <row r="968" spans="1:8" x14ac:dyDescent="0.3">
      <c r="A968" s="1">
        <v>45732</v>
      </c>
      <c r="B968" t="s">
        <v>242</v>
      </c>
      <c r="C968" t="s">
        <v>16</v>
      </c>
      <c r="D968" t="s">
        <v>13</v>
      </c>
      <c r="E968" t="s">
        <v>14</v>
      </c>
      <c r="F968">
        <v>10</v>
      </c>
      <c r="G968">
        <v>13470</v>
      </c>
      <c r="H968">
        <v>1804.63</v>
      </c>
    </row>
    <row r="969" spans="1:8" x14ac:dyDescent="0.3">
      <c r="A969" s="1">
        <v>45718</v>
      </c>
      <c r="B969" t="s">
        <v>227</v>
      </c>
      <c r="C969" t="s">
        <v>29</v>
      </c>
      <c r="D969" t="s">
        <v>36</v>
      </c>
      <c r="E969" t="s">
        <v>11</v>
      </c>
      <c r="F969">
        <v>6</v>
      </c>
      <c r="G969">
        <v>11952</v>
      </c>
      <c r="H969">
        <v>2433.4699999999998</v>
      </c>
    </row>
    <row r="970" spans="1:8" x14ac:dyDescent="0.3">
      <c r="A970" s="1">
        <v>45869</v>
      </c>
      <c r="B970" t="s">
        <v>42</v>
      </c>
      <c r="C970" t="s">
        <v>9</v>
      </c>
      <c r="D970" t="s">
        <v>47</v>
      </c>
      <c r="E970" t="s">
        <v>44</v>
      </c>
      <c r="F970">
        <v>5</v>
      </c>
      <c r="G970">
        <v>61290</v>
      </c>
      <c r="H970">
        <v>12671.93</v>
      </c>
    </row>
    <row r="971" spans="1:8" x14ac:dyDescent="0.3">
      <c r="A971" s="1">
        <v>45754</v>
      </c>
      <c r="B971" t="s">
        <v>188</v>
      </c>
      <c r="C971" t="s">
        <v>29</v>
      </c>
      <c r="D971" t="s">
        <v>10</v>
      </c>
      <c r="E971" t="s">
        <v>11</v>
      </c>
      <c r="F971">
        <v>3</v>
      </c>
      <c r="G971">
        <v>54159</v>
      </c>
      <c r="H971">
        <v>4573.93</v>
      </c>
    </row>
    <row r="972" spans="1:8" x14ac:dyDescent="0.3">
      <c r="A972" s="1">
        <v>45794</v>
      </c>
      <c r="B972" t="s">
        <v>64</v>
      </c>
      <c r="C972" t="s">
        <v>35</v>
      </c>
      <c r="D972" t="s">
        <v>26</v>
      </c>
      <c r="E972" t="s">
        <v>27</v>
      </c>
      <c r="F972">
        <v>10</v>
      </c>
      <c r="G972">
        <v>2360</v>
      </c>
      <c r="H972">
        <v>281.44</v>
      </c>
    </row>
    <row r="973" spans="1:8" x14ac:dyDescent="0.3">
      <c r="A973" s="1">
        <v>46009</v>
      </c>
      <c r="B973" t="s">
        <v>76</v>
      </c>
      <c r="C973" t="s">
        <v>9</v>
      </c>
      <c r="D973" t="s">
        <v>54</v>
      </c>
      <c r="E973" t="s">
        <v>11</v>
      </c>
      <c r="F973">
        <v>6</v>
      </c>
      <c r="G973">
        <v>285624</v>
      </c>
      <c r="H973">
        <v>56263.360000000001</v>
      </c>
    </row>
    <row r="974" spans="1:8" x14ac:dyDescent="0.3">
      <c r="A974" s="1">
        <v>45915</v>
      </c>
      <c r="B974" t="s">
        <v>321</v>
      </c>
      <c r="C974" t="s">
        <v>18</v>
      </c>
      <c r="D974" t="s">
        <v>56</v>
      </c>
      <c r="E974" t="s">
        <v>31</v>
      </c>
      <c r="F974">
        <v>10</v>
      </c>
      <c r="G974">
        <v>14600</v>
      </c>
      <c r="H974">
        <v>2935.23</v>
      </c>
    </row>
    <row r="975" spans="1:8" x14ac:dyDescent="0.3">
      <c r="A975" s="1">
        <v>45856</v>
      </c>
      <c r="B975" t="s">
        <v>237</v>
      </c>
      <c r="C975" t="s">
        <v>9</v>
      </c>
      <c r="D975" t="s">
        <v>43</v>
      </c>
      <c r="E975" t="s">
        <v>44</v>
      </c>
      <c r="F975">
        <v>8</v>
      </c>
      <c r="G975">
        <v>50024</v>
      </c>
      <c r="H975">
        <v>5394.77</v>
      </c>
    </row>
    <row r="976" spans="1:8" x14ac:dyDescent="0.3">
      <c r="A976" s="1">
        <v>45867</v>
      </c>
      <c r="B976" t="s">
        <v>134</v>
      </c>
      <c r="C976" t="s">
        <v>35</v>
      </c>
      <c r="D976" t="s">
        <v>52</v>
      </c>
      <c r="E976" t="s">
        <v>31</v>
      </c>
      <c r="F976">
        <v>1</v>
      </c>
      <c r="G976">
        <v>3410</v>
      </c>
      <c r="H976">
        <v>823.63</v>
      </c>
    </row>
    <row r="977" spans="1:8" x14ac:dyDescent="0.3">
      <c r="A977" s="1">
        <v>46001</v>
      </c>
      <c r="B977" t="s">
        <v>169</v>
      </c>
      <c r="C977" t="s">
        <v>9</v>
      </c>
      <c r="D977" t="s">
        <v>24</v>
      </c>
      <c r="E977" t="s">
        <v>11</v>
      </c>
      <c r="F977">
        <v>4</v>
      </c>
      <c r="G977">
        <v>2540</v>
      </c>
      <c r="H977">
        <v>279.66000000000003</v>
      </c>
    </row>
    <row r="978" spans="1:8" x14ac:dyDescent="0.3">
      <c r="A978" s="1">
        <v>45973</v>
      </c>
      <c r="B978" t="s">
        <v>114</v>
      </c>
      <c r="C978" t="s">
        <v>18</v>
      </c>
      <c r="D978" t="s">
        <v>43</v>
      </c>
      <c r="E978" t="s">
        <v>44</v>
      </c>
      <c r="F978">
        <v>12</v>
      </c>
      <c r="G978">
        <v>111876</v>
      </c>
      <c r="H978">
        <v>25435.200000000001</v>
      </c>
    </row>
    <row r="979" spans="1:8" x14ac:dyDescent="0.3">
      <c r="A979" s="1">
        <v>45865</v>
      </c>
      <c r="B979" t="s">
        <v>257</v>
      </c>
      <c r="C979" t="s">
        <v>35</v>
      </c>
      <c r="D979" t="s">
        <v>52</v>
      </c>
      <c r="E979" t="s">
        <v>31</v>
      </c>
      <c r="F979">
        <v>1</v>
      </c>
      <c r="G979">
        <v>4316</v>
      </c>
      <c r="H979">
        <v>873.71</v>
      </c>
    </row>
    <row r="980" spans="1:8" x14ac:dyDescent="0.3">
      <c r="A980" s="1">
        <v>45950</v>
      </c>
      <c r="B980" t="s">
        <v>253</v>
      </c>
      <c r="C980" t="s">
        <v>16</v>
      </c>
      <c r="D980" t="s">
        <v>26</v>
      </c>
      <c r="E980" t="s">
        <v>27</v>
      </c>
      <c r="F980">
        <v>9</v>
      </c>
      <c r="G980">
        <v>1926</v>
      </c>
      <c r="H980">
        <v>364.09</v>
      </c>
    </row>
    <row r="981" spans="1:8" x14ac:dyDescent="0.3">
      <c r="A981" s="1">
        <v>45713</v>
      </c>
      <c r="B981" t="s">
        <v>256</v>
      </c>
      <c r="C981" t="s">
        <v>29</v>
      </c>
      <c r="D981" t="s">
        <v>43</v>
      </c>
      <c r="E981" t="s">
        <v>44</v>
      </c>
      <c r="F981">
        <v>8</v>
      </c>
      <c r="G981">
        <v>37552</v>
      </c>
      <c r="H981">
        <v>8607.77</v>
      </c>
    </row>
    <row r="982" spans="1:8" x14ac:dyDescent="0.3">
      <c r="A982" s="1">
        <v>45933</v>
      </c>
      <c r="B982" t="s">
        <v>299</v>
      </c>
      <c r="C982" t="s">
        <v>16</v>
      </c>
      <c r="D982" t="s">
        <v>47</v>
      </c>
      <c r="E982" t="s">
        <v>44</v>
      </c>
      <c r="F982">
        <v>12</v>
      </c>
      <c r="G982">
        <v>67716</v>
      </c>
      <c r="H982">
        <v>11837.38</v>
      </c>
    </row>
    <row r="983" spans="1:8" x14ac:dyDescent="0.3">
      <c r="A983" s="1">
        <v>45980</v>
      </c>
      <c r="B983" t="s">
        <v>171</v>
      </c>
      <c r="C983" t="s">
        <v>35</v>
      </c>
      <c r="D983" t="s">
        <v>54</v>
      </c>
      <c r="E983" t="s">
        <v>11</v>
      </c>
      <c r="F983">
        <v>4</v>
      </c>
      <c r="G983">
        <v>218164</v>
      </c>
      <c r="H983">
        <v>33755.24</v>
      </c>
    </row>
    <row r="984" spans="1:8" x14ac:dyDescent="0.3">
      <c r="A984" s="1">
        <v>45804</v>
      </c>
      <c r="B984" t="s">
        <v>312</v>
      </c>
      <c r="C984" t="s">
        <v>35</v>
      </c>
      <c r="D984" t="s">
        <v>43</v>
      </c>
      <c r="E984" t="s">
        <v>44</v>
      </c>
      <c r="F984">
        <v>3</v>
      </c>
      <c r="G984">
        <v>32763</v>
      </c>
      <c r="H984">
        <v>4260.87</v>
      </c>
    </row>
    <row r="985" spans="1:8" x14ac:dyDescent="0.3">
      <c r="A985" s="1">
        <v>45922</v>
      </c>
      <c r="B985" t="s">
        <v>143</v>
      </c>
      <c r="C985" t="s">
        <v>35</v>
      </c>
      <c r="D985" t="s">
        <v>30</v>
      </c>
      <c r="E985" t="s">
        <v>31</v>
      </c>
      <c r="F985">
        <v>3</v>
      </c>
      <c r="G985">
        <v>9294</v>
      </c>
      <c r="H985">
        <v>2054.7399999999998</v>
      </c>
    </row>
    <row r="986" spans="1:8" x14ac:dyDescent="0.3">
      <c r="A986" s="1">
        <v>45914</v>
      </c>
      <c r="B986" t="s">
        <v>139</v>
      </c>
      <c r="C986" t="s">
        <v>18</v>
      </c>
      <c r="D986" t="s">
        <v>10</v>
      </c>
      <c r="E986" t="s">
        <v>11</v>
      </c>
      <c r="F986">
        <v>3</v>
      </c>
      <c r="G986">
        <v>93549</v>
      </c>
      <c r="H986">
        <v>22398.74</v>
      </c>
    </row>
    <row r="987" spans="1:8" x14ac:dyDescent="0.3">
      <c r="A987" s="1">
        <v>45859</v>
      </c>
      <c r="B987" t="s">
        <v>111</v>
      </c>
      <c r="C987" t="s">
        <v>35</v>
      </c>
      <c r="D987" t="s">
        <v>47</v>
      </c>
      <c r="E987" t="s">
        <v>44</v>
      </c>
      <c r="F987">
        <v>6</v>
      </c>
      <c r="G987">
        <v>74322</v>
      </c>
      <c r="H987">
        <v>6260.52</v>
      </c>
    </row>
    <row r="988" spans="1:8" x14ac:dyDescent="0.3">
      <c r="A988" s="1">
        <v>46022</v>
      </c>
      <c r="B988" t="s">
        <v>288</v>
      </c>
      <c r="C988" t="s">
        <v>29</v>
      </c>
      <c r="D988" t="s">
        <v>30</v>
      </c>
      <c r="E988" t="s">
        <v>31</v>
      </c>
      <c r="F988">
        <v>4</v>
      </c>
      <c r="G988">
        <v>12248</v>
      </c>
      <c r="H988">
        <v>1167.6099999999999</v>
      </c>
    </row>
    <row r="989" spans="1:8" x14ac:dyDescent="0.3">
      <c r="A989" s="1">
        <v>45990</v>
      </c>
      <c r="B989" t="s">
        <v>293</v>
      </c>
      <c r="C989" t="s">
        <v>18</v>
      </c>
      <c r="D989" t="s">
        <v>30</v>
      </c>
      <c r="E989" t="s">
        <v>31</v>
      </c>
      <c r="F989">
        <v>12</v>
      </c>
      <c r="G989">
        <v>22452</v>
      </c>
      <c r="H989">
        <v>4538.08</v>
      </c>
    </row>
    <row r="990" spans="1:8" x14ac:dyDescent="0.3">
      <c r="A990" s="1">
        <v>45716</v>
      </c>
      <c r="B990" t="s">
        <v>264</v>
      </c>
      <c r="C990" t="s">
        <v>35</v>
      </c>
      <c r="D990" t="s">
        <v>19</v>
      </c>
      <c r="E990" t="s">
        <v>20</v>
      </c>
      <c r="F990">
        <v>8</v>
      </c>
      <c r="G990">
        <v>7592</v>
      </c>
      <c r="H990">
        <v>1075.79</v>
      </c>
    </row>
    <row r="991" spans="1:8" x14ac:dyDescent="0.3">
      <c r="A991" s="1">
        <v>45854</v>
      </c>
      <c r="B991" t="s">
        <v>197</v>
      </c>
      <c r="C991" t="s">
        <v>18</v>
      </c>
      <c r="D991" t="s">
        <v>19</v>
      </c>
      <c r="E991" t="s">
        <v>20</v>
      </c>
      <c r="F991">
        <v>9</v>
      </c>
      <c r="G991">
        <v>8334</v>
      </c>
      <c r="H991">
        <v>2012.31</v>
      </c>
    </row>
    <row r="992" spans="1:8" x14ac:dyDescent="0.3">
      <c r="A992" s="1">
        <v>45852</v>
      </c>
      <c r="B992" t="s">
        <v>182</v>
      </c>
      <c r="C992" t="s">
        <v>29</v>
      </c>
      <c r="D992" t="s">
        <v>54</v>
      </c>
      <c r="E992" t="s">
        <v>11</v>
      </c>
      <c r="F992">
        <v>3</v>
      </c>
      <c r="G992">
        <v>167949</v>
      </c>
      <c r="H992">
        <v>29581.46</v>
      </c>
    </row>
    <row r="993" spans="1:8" x14ac:dyDescent="0.3">
      <c r="A993" s="1">
        <v>45732</v>
      </c>
      <c r="B993" t="s">
        <v>147</v>
      </c>
      <c r="C993" t="s">
        <v>29</v>
      </c>
      <c r="D993" t="s">
        <v>36</v>
      </c>
      <c r="E993" t="s">
        <v>11</v>
      </c>
      <c r="F993">
        <v>12</v>
      </c>
      <c r="G993">
        <v>14640</v>
      </c>
      <c r="H993">
        <v>2215.4499999999998</v>
      </c>
    </row>
    <row r="994" spans="1:8" x14ac:dyDescent="0.3">
      <c r="A994" s="1">
        <v>45886</v>
      </c>
      <c r="B994" t="s">
        <v>274</v>
      </c>
      <c r="C994" t="s">
        <v>18</v>
      </c>
      <c r="D994" t="s">
        <v>22</v>
      </c>
      <c r="E994" t="s">
        <v>11</v>
      </c>
      <c r="F994">
        <v>11</v>
      </c>
      <c r="G994">
        <v>7370</v>
      </c>
      <c r="H994">
        <v>736.88</v>
      </c>
    </row>
    <row r="995" spans="1:8" x14ac:dyDescent="0.3">
      <c r="A995" s="1">
        <v>45659</v>
      </c>
      <c r="B995" t="s">
        <v>192</v>
      </c>
      <c r="C995" t="s">
        <v>9</v>
      </c>
      <c r="D995" t="s">
        <v>26</v>
      </c>
      <c r="E995" t="s">
        <v>27</v>
      </c>
      <c r="F995">
        <v>5</v>
      </c>
      <c r="G995">
        <v>415</v>
      </c>
      <c r="H995">
        <v>65.56</v>
      </c>
    </row>
    <row r="996" spans="1:8" x14ac:dyDescent="0.3">
      <c r="A996" s="1">
        <v>45660</v>
      </c>
      <c r="B996" t="s">
        <v>112</v>
      </c>
      <c r="C996" t="s">
        <v>16</v>
      </c>
      <c r="D996" t="s">
        <v>26</v>
      </c>
      <c r="E996" t="s">
        <v>27</v>
      </c>
      <c r="F996">
        <v>8</v>
      </c>
      <c r="G996">
        <v>1120</v>
      </c>
      <c r="H996">
        <v>130.88999999999999</v>
      </c>
    </row>
    <row r="997" spans="1:8" x14ac:dyDescent="0.3">
      <c r="A997" s="1">
        <v>45867</v>
      </c>
      <c r="B997" t="s">
        <v>309</v>
      </c>
      <c r="C997" t="s">
        <v>35</v>
      </c>
      <c r="D997" t="s">
        <v>43</v>
      </c>
      <c r="E997" t="s">
        <v>44</v>
      </c>
      <c r="F997">
        <v>2</v>
      </c>
      <c r="G997">
        <v>27700</v>
      </c>
      <c r="H997">
        <v>5041.88</v>
      </c>
    </row>
    <row r="998" spans="1:8" x14ac:dyDescent="0.3">
      <c r="A998" s="1">
        <v>45938</v>
      </c>
      <c r="B998" t="s">
        <v>322</v>
      </c>
      <c r="C998" t="s">
        <v>16</v>
      </c>
      <c r="D998" t="s">
        <v>22</v>
      </c>
      <c r="E998" t="s">
        <v>11</v>
      </c>
      <c r="F998">
        <v>10</v>
      </c>
      <c r="G998">
        <v>15870</v>
      </c>
      <c r="H998">
        <v>2773.81</v>
      </c>
    </row>
    <row r="999" spans="1:8" x14ac:dyDescent="0.3">
      <c r="A999" s="1">
        <v>45752</v>
      </c>
      <c r="B999" t="s">
        <v>205</v>
      </c>
      <c r="C999" t="s">
        <v>29</v>
      </c>
      <c r="D999" t="s">
        <v>36</v>
      </c>
      <c r="E999" t="s">
        <v>11</v>
      </c>
      <c r="F999">
        <v>1</v>
      </c>
      <c r="G999">
        <v>3659</v>
      </c>
      <c r="H999">
        <v>315.56</v>
      </c>
    </row>
    <row r="1000" spans="1:8" x14ac:dyDescent="0.3">
      <c r="A1000" s="1">
        <v>45953</v>
      </c>
      <c r="B1000" t="s">
        <v>83</v>
      </c>
      <c r="C1000" t="s">
        <v>16</v>
      </c>
      <c r="D1000" t="s">
        <v>56</v>
      </c>
      <c r="E1000" t="s">
        <v>31</v>
      </c>
      <c r="F1000">
        <v>10</v>
      </c>
      <c r="G1000">
        <v>11110</v>
      </c>
      <c r="H1000">
        <v>1514.17</v>
      </c>
    </row>
    <row r="1001" spans="1:8" x14ac:dyDescent="0.3">
      <c r="A1001" s="1">
        <v>45713</v>
      </c>
      <c r="B1001" t="s">
        <v>234</v>
      </c>
      <c r="C1001" t="s">
        <v>9</v>
      </c>
      <c r="D1001" t="s">
        <v>47</v>
      </c>
      <c r="E1001" t="s">
        <v>44</v>
      </c>
      <c r="F1001">
        <v>3</v>
      </c>
      <c r="G1001">
        <v>22929</v>
      </c>
      <c r="H1001">
        <v>4454.08</v>
      </c>
    </row>
  </sheetData>
  <dataValidations count="1">
    <dataValidation type="list" allowBlank="1" showInputMessage="1" showErrorMessage="1" sqref="K9" xr:uid="{AEC0A8B1-FFDD-4D0A-ACAA-94FABB2773F9}">
      <formula1>$E$2:$E$1001</formula1>
    </dataValidation>
  </dataValidation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65BB9-1005-478C-A934-5BAA0B4F915A}">
  <dimension ref="A3:L27"/>
  <sheetViews>
    <sheetView workbookViewId="0"/>
  </sheetViews>
  <sheetFormatPr defaultRowHeight="14.4" x14ac:dyDescent="0.3"/>
  <cols>
    <col min="1" max="1" width="12.44140625" bestFit="1" customWidth="1"/>
    <col min="2" max="2" width="16.109375" bestFit="1" customWidth="1"/>
    <col min="3" max="3" width="11.5546875" bestFit="1" customWidth="1"/>
    <col min="4" max="4" width="11.5546875" customWidth="1"/>
    <col min="5" max="5" width="11.5546875" bestFit="1" customWidth="1"/>
    <col min="6" max="6" width="12.44140625" bestFit="1" customWidth="1"/>
    <col min="7" max="7" width="16.109375" bestFit="1" customWidth="1"/>
    <col min="8" max="8" width="12.44140625" bestFit="1" customWidth="1"/>
    <col min="9" max="9" width="16.109375" bestFit="1" customWidth="1"/>
    <col min="10" max="10" width="8.33203125" customWidth="1"/>
    <col min="11" max="11" width="12.44140625" bestFit="1" customWidth="1"/>
    <col min="12" max="12" width="14.21875" bestFit="1" customWidth="1"/>
    <col min="13" max="13" width="8" bestFit="1" customWidth="1"/>
    <col min="14" max="14" width="11.44140625" bestFit="1" customWidth="1"/>
    <col min="15" max="15" width="7" bestFit="1" customWidth="1"/>
    <col min="17" max="17" width="9" bestFit="1" customWidth="1"/>
    <col min="18" max="19" width="8" bestFit="1" customWidth="1"/>
    <col min="20" max="20" width="7" bestFit="1" customWidth="1"/>
    <col min="21" max="21" width="9.109375" bestFit="1" customWidth="1"/>
    <col min="22" max="22" width="10.6640625" bestFit="1" customWidth="1"/>
    <col min="23" max="23" width="7.33203125" bestFit="1" customWidth="1"/>
    <col min="24" max="24" width="8" bestFit="1" customWidth="1"/>
    <col min="25" max="25" width="7" bestFit="1" customWidth="1"/>
    <col min="26" max="26" width="11.33203125" bestFit="1" customWidth="1"/>
    <col min="27" max="27" width="10.5546875" bestFit="1" customWidth="1"/>
  </cols>
  <sheetData>
    <row r="3" spans="1:12" x14ac:dyDescent="0.3">
      <c r="A3" s="2" t="s">
        <v>323</v>
      </c>
      <c r="B3" t="s">
        <v>324</v>
      </c>
      <c r="C3" t="s">
        <v>325</v>
      </c>
      <c r="F3" s="2" t="s">
        <v>323</v>
      </c>
      <c r="G3" t="s">
        <v>324</v>
      </c>
      <c r="H3" t="s">
        <v>325</v>
      </c>
      <c r="K3" s="2" t="s">
        <v>323</v>
      </c>
      <c r="L3" t="s">
        <v>326</v>
      </c>
    </row>
    <row r="4" spans="1:12" x14ac:dyDescent="0.3">
      <c r="A4" s="3" t="s">
        <v>331</v>
      </c>
      <c r="B4" s="4">
        <v>4109214</v>
      </c>
      <c r="C4" s="4">
        <v>613807.86</v>
      </c>
      <c r="D4" s="4"/>
      <c r="F4" s="3" t="s">
        <v>29</v>
      </c>
      <c r="G4" s="4">
        <v>12455052</v>
      </c>
      <c r="H4" s="4">
        <v>2134277.2199999993</v>
      </c>
      <c r="K4" s="3" t="s">
        <v>13</v>
      </c>
      <c r="L4" s="5">
        <v>465</v>
      </c>
    </row>
    <row r="5" spans="1:12" x14ac:dyDescent="0.3">
      <c r="A5" s="3" t="s">
        <v>332</v>
      </c>
      <c r="B5" s="4">
        <v>4917511</v>
      </c>
      <c r="C5" s="4">
        <v>822391.83</v>
      </c>
      <c r="D5" s="4"/>
      <c r="F5" s="3" t="s">
        <v>16</v>
      </c>
      <c r="G5" s="4">
        <v>10452585</v>
      </c>
      <c r="H5" s="4">
        <v>1888092.5599999998</v>
      </c>
      <c r="K5" s="3" t="s">
        <v>43</v>
      </c>
      <c r="L5" s="5">
        <v>482</v>
      </c>
    </row>
    <row r="6" spans="1:12" x14ac:dyDescent="0.3">
      <c r="A6" s="3" t="s">
        <v>333</v>
      </c>
      <c r="B6" s="4">
        <v>3343250</v>
      </c>
      <c r="C6" s="4">
        <v>526580.61</v>
      </c>
      <c r="D6" s="4"/>
      <c r="F6" s="3" t="s">
        <v>9</v>
      </c>
      <c r="G6" s="4">
        <v>11218348</v>
      </c>
      <c r="H6" s="4">
        <v>1722808.95</v>
      </c>
      <c r="K6" s="3" t="s">
        <v>36</v>
      </c>
      <c r="L6" s="5">
        <v>467</v>
      </c>
    </row>
    <row r="7" spans="1:12" x14ac:dyDescent="0.3">
      <c r="A7" s="3" t="s">
        <v>334</v>
      </c>
      <c r="B7" s="4">
        <v>5164318</v>
      </c>
      <c r="C7" s="4">
        <v>875884.62000000011</v>
      </c>
      <c r="D7" s="4"/>
      <c r="F7" s="3" t="s">
        <v>18</v>
      </c>
      <c r="G7" s="4">
        <v>9665347</v>
      </c>
      <c r="H7" s="4">
        <v>1562847.0499999993</v>
      </c>
      <c r="K7" s="3" t="s">
        <v>30</v>
      </c>
      <c r="L7" s="5">
        <v>370</v>
      </c>
    </row>
    <row r="8" spans="1:12" x14ac:dyDescent="0.3">
      <c r="A8" s="3" t="s">
        <v>335</v>
      </c>
      <c r="B8" s="4">
        <v>4840541</v>
      </c>
      <c r="C8" s="4">
        <v>815755.50000000012</v>
      </c>
      <c r="D8" s="4"/>
      <c r="F8" s="3" t="s">
        <v>35</v>
      </c>
      <c r="G8" s="4">
        <v>10282437</v>
      </c>
      <c r="H8" s="4">
        <v>1804273.11</v>
      </c>
      <c r="K8" s="3" t="s">
        <v>24</v>
      </c>
      <c r="L8" s="5">
        <v>422</v>
      </c>
    </row>
    <row r="9" spans="1:12" x14ac:dyDescent="0.3">
      <c r="A9" s="3" t="s">
        <v>336</v>
      </c>
      <c r="B9" s="4">
        <v>4219086</v>
      </c>
      <c r="C9" s="4">
        <v>692253.55999999971</v>
      </c>
      <c r="D9" s="4"/>
      <c r="F9" s="3" t="s">
        <v>328</v>
      </c>
      <c r="G9" s="4">
        <v>54073769</v>
      </c>
      <c r="H9" s="4">
        <v>9112298.8899999987</v>
      </c>
      <c r="K9" s="3" t="s">
        <v>54</v>
      </c>
      <c r="L9" s="5">
        <v>349</v>
      </c>
    </row>
    <row r="10" spans="1:12" x14ac:dyDescent="0.3">
      <c r="A10" s="3" t="s">
        <v>327</v>
      </c>
      <c r="B10" s="4">
        <v>5267029</v>
      </c>
      <c r="C10" s="4">
        <v>864882.98999999987</v>
      </c>
      <c r="D10" s="4"/>
      <c r="K10" s="3" t="s">
        <v>10</v>
      </c>
      <c r="L10" s="5">
        <v>410</v>
      </c>
    </row>
    <row r="11" spans="1:12" x14ac:dyDescent="0.3">
      <c r="A11" s="3" t="s">
        <v>337</v>
      </c>
      <c r="B11" s="4">
        <v>5613360</v>
      </c>
      <c r="C11" s="4">
        <v>1052993.7300000002</v>
      </c>
      <c r="D11" s="4"/>
      <c r="K11" s="3" t="s">
        <v>40</v>
      </c>
      <c r="L11" s="5">
        <v>475</v>
      </c>
    </row>
    <row r="12" spans="1:12" x14ac:dyDescent="0.3">
      <c r="A12" s="3" t="s">
        <v>338</v>
      </c>
      <c r="B12" s="4">
        <v>4033474</v>
      </c>
      <c r="C12" s="4">
        <v>732176.6399999999</v>
      </c>
      <c r="D12" s="4"/>
      <c r="K12" s="3" t="s">
        <v>22</v>
      </c>
      <c r="L12" s="5">
        <v>486</v>
      </c>
    </row>
    <row r="13" spans="1:12" x14ac:dyDescent="0.3">
      <c r="A13" s="3" t="s">
        <v>339</v>
      </c>
      <c r="B13" s="4">
        <v>5749310</v>
      </c>
      <c r="C13" s="4">
        <v>944553.96999999986</v>
      </c>
      <c r="D13" s="4"/>
      <c r="K13" s="3" t="s">
        <v>62</v>
      </c>
      <c r="L13" s="5">
        <v>413</v>
      </c>
    </row>
    <row r="14" spans="1:12" x14ac:dyDescent="0.3">
      <c r="A14" s="3" t="s">
        <v>340</v>
      </c>
      <c r="B14" s="4">
        <v>2956854</v>
      </c>
      <c r="C14" s="4">
        <v>502391.60999999993</v>
      </c>
      <c r="D14" s="4"/>
      <c r="E14" s="2" t="s">
        <v>323</v>
      </c>
      <c r="F14" t="s">
        <v>325</v>
      </c>
      <c r="K14" s="3" t="s">
        <v>47</v>
      </c>
      <c r="L14" s="5">
        <v>448</v>
      </c>
    </row>
    <row r="15" spans="1:12" x14ac:dyDescent="0.3">
      <c r="A15" s="3" t="s">
        <v>341</v>
      </c>
      <c r="B15" s="4">
        <v>3859822</v>
      </c>
      <c r="C15" s="4">
        <v>668625.9700000002</v>
      </c>
      <c r="D15" s="4"/>
      <c r="E15" s="3" t="s">
        <v>331</v>
      </c>
      <c r="F15" s="4">
        <v>613807.86</v>
      </c>
      <c r="K15" s="3" t="s">
        <v>26</v>
      </c>
      <c r="L15" s="5">
        <v>351</v>
      </c>
    </row>
    <row r="16" spans="1:12" x14ac:dyDescent="0.3">
      <c r="A16" s="3" t="s">
        <v>328</v>
      </c>
      <c r="B16" s="4">
        <v>54073769</v>
      </c>
      <c r="C16" s="4">
        <v>9112298.8900000006</v>
      </c>
      <c r="D16" s="4"/>
      <c r="E16" s="3" t="s">
        <v>332</v>
      </c>
      <c r="F16" s="4">
        <v>822391.83</v>
      </c>
      <c r="K16" s="3" t="s">
        <v>52</v>
      </c>
      <c r="L16" s="5">
        <v>533</v>
      </c>
    </row>
    <row r="17" spans="1:12" x14ac:dyDescent="0.3">
      <c r="E17" s="3" t="s">
        <v>333</v>
      </c>
      <c r="F17" s="4">
        <v>526580.61</v>
      </c>
      <c r="K17" s="3" t="s">
        <v>56</v>
      </c>
      <c r="L17" s="5">
        <v>468</v>
      </c>
    </row>
    <row r="18" spans="1:12" x14ac:dyDescent="0.3">
      <c r="E18" s="3" t="s">
        <v>334</v>
      </c>
      <c r="F18" s="4">
        <v>875884.62000000011</v>
      </c>
      <c r="K18" s="3" t="s">
        <v>19</v>
      </c>
      <c r="L18" s="5">
        <v>427</v>
      </c>
    </row>
    <row r="19" spans="1:12" x14ac:dyDescent="0.3">
      <c r="E19" s="3" t="s">
        <v>335</v>
      </c>
      <c r="F19" s="4">
        <v>815755.50000000012</v>
      </c>
      <c r="K19" s="3" t="s">
        <v>328</v>
      </c>
      <c r="L19" s="6">
        <v>6566</v>
      </c>
    </row>
    <row r="20" spans="1:12" x14ac:dyDescent="0.3">
      <c r="A20" s="7" t="s">
        <v>6</v>
      </c>
      <c r="B20" s="8">
        <f>GETPIVOTDATA("Sum of Total Sales",$A$3)</f>
        <v>54073769</v>
      </c>
      <c r="E20" s="3" t="s">
        <v>336</v>
      </c>
      <c r="F20" s="4">
        <v>692253.55999999971</v>
      </c>
      <c r="H20" s="2" t="s">
        <v>323</v>
      </c>
      <c r="I20" t="s">
        <v>324</v>
      </c>
    </row>
    <row r="21" spans="1:12" x14ac:dyDescent="0.3">
      <c r="A21" s="7" t="s">
        <v>329</v>
      </c>
      <c r="B21" s="8">
        <f>GETPIVOTDATA("Profit",$E$14)</f>
        <v>9112298.8900000006</v>
      </c>
      <c r="E21" s="3" t="s">
        <v>327</v>
      </c>
      <c r="F21" s="4">
        <v>864882.98999999987</v>
      </c>
      <c r="H21" s="3" t="s">
        <v>20</v>
      </c>
      <c r="I21" s="10">
        <v>335607</v>
      </c>
    </row>
    <row r="22" spans="1:12" x14ac:dyDescent="0.3">
      <c r="A22" s="7" t="s">
        <v>5</v>
      </c>
      <c r="B22" s="9">
        <f>GETPIVOTDATA("Quantity",$K$3)</f>
        <v>6566</v>
      </c>
      <c r="E22" s="3" t="s">
        <v>337</v>
      </c>
      <c r="F22" s="4">
        <v>1052993.7300000002</v>
      </c>
      <c r="H22" s="3" t="s">
        <v>14</v>
      </c>
      <c r="I22" s="10">
        <v>1068247</v>
      </c>
    </row>
    <row r="23" spans="1:12" x14ac:dyDescent="0.3">
      <c r="E23" s="3" t="s">
        <v>338</v>
      </c>
      <c r="F23" s="4">
        <v>732176.6399999999</v>
      </c>
      <c r="H23" s="3" t="s">
        <v>11</v>
      </c>
      <c r="I23" s="10">
        <v>39459516</v>
      </c>
    </row>
    <row r="24" spans="1:12" x14ac:dyDescent="0.3">
      <c r="E24" s="3" t="s">
        <v>339</v>
      </c>
      <c r="F24" s="4">
        <v>944553.96999999986</v>
      </c>
      <c r="H24" s="3" t="s">
        <v>31</v>
      </c>
      <c r="I24" s="10">
        <v>3318972</v>
      </c>
    </row>
    <row r="25" spans="1:12" x14ac:dyDescent="0.3">
      <c r="E25" s="3" t="s">
        <v>340</v>
      </c>
      <c r="F25" s="4">
        <v>502391.60999999993</v>
      </c>
      <c r="H25" s="3" t="s">
        <v>44</v>
      </c>
      <c r="I25" s="10">
        <v>9763054</v>
      </c>
    </row>
    <row r="26" spans="1:12" x14ac:dyDescent="0.3">
      <c r="E26" s="3" t="s">
        <v>341</v>
      </c>
      <c r="F26" s="4">
        <v>668625.9700000002</v>
      </c>
      <c r="H26" s="3" t="s">
        <v>27</v>
      </c>
      <c r="I26" s="10">
        <v>128373</v>
      </c>
    </row>
    <row r="27" spans="1:12" x14ac:dyDescent="0.3">
      <c r="E27" s="3" t="s">
        <v>328</v>
      </c>
      <c r="F27" s="4">
        <v>9112298.8900000006</v>
      </c>
      <c r="H27" s="3" t="s">
        <v>328</v>
      </c>
      <c r="I27" s="10">
        <v>54073769</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BBA4B-DAAD-4C46-A06C-2F6D79617A1E}">
  <dimension ref="M47"/>
  <sheetViews>
    <sheetView showGridLines="0" tabSelected="1" zoomScale="79" zoomScaleNormal="70" workbookViewId="0">
      <selection activeCell="M48" sqref="M48"/>
    </sheetView>
  </sheetViews>
  <sheetFormatPr defaultRowHeight="14.4" x14ac:dyDescent="0.3"/>
  <cols>
    <col min="1" max="1" width="12.44140625" bestFit="1" customWidth="1"/>
    <col min="2" max="2" width="16.109375" bestFit="1" customWidth="1"/>
    <col min="3" max="3" width="11.5546875" bestFit="1" customWidth="1"/>
    <col min="5" max="5" width="12.44140625" bestFit="1" customWidth="1"/>
    <col min="6" max="6" width="16.109375" bestFit="1" customWidth="1"/>
    <col min="7" max="19" width="15.5546875" bestFit="1" customWidth="1"/>
    <col min="20" max="21" width="10.5546875" bestFit="1" customWidth="1"/>
  </cols>
  <sheetData>
    <row r="47" spans="13:13" x14ac:dyDescent="0.3">
      <c r="M47" t="s">
        <v>330</v>
      </c>
    </row>
  </sheetData>
  <sheetProtection formatCells="0"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361FA1A-8419-43D0-B863-4A23F09E5B7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 (2)</vt:lpstr>
      <vt:lpstr>Pivot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Narayan Kumar</dc:creator>
  <cp:keywords/>
  <dc:description/>
  <cp:lastModifiedBy>Narayan Kumar</cp:lastModifiedBy>
  <cp:revision/>
  <dcterms:created xsi:type="dcterms:W3CDTF">2026-09-23T15:12:42Z</dcterms:created>
  <dcterms:modified xsi:type="dcterms:W3CDTF">2026-10-05T08:15:09Z</dcterms:modified>
  <cp:category/>
  <cp:contentStatus/>
</cp:coreProperties>
</file>